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égis.ATTOLOU\Documents\"/>
    </mc:Choice>
  </mc:AlternateContent>
  <bookViews>
    <workbookView xWindow="0" yWindow="0" windowWidth="28800" windowHeight="11820"/>
  </bookViews>
  <sheets>
    <sheet name="Listing vierge" sheetId="1" r:id="rId1"/>
    <sheet name="Logement avec ou  sans annexes" sheetId="3" r:id="rId2"/>
    <sheet name="Annexes seules" sheetId="5" r:id="rId3"/>
    <sheet name="Références" sheetId="4" state="hidden" r:id="rId4"/>
  </sheets>
  <definedNames>
    <definedName name="_xlnm._FilterDatabase" localSheetId="0" hidden="1">'Listing vierge'!$A$1:$AH$115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5" l="1"/>
  <c r="B36" i="5"/>
  <c r="B35" i="5"/>
  <c r="B34" i="5"/>
  <c r="B33" i="5"/>
  <c r="B32" i="5"/>
  <c r="B30" i="5"/>
  <c r="B29" i="5"/>
  <c r="B28" i="5"/>
  <c r="B27" i="5"/>
  <c r="B26" i="5"/>
  <c r="B24" i="5"/>
  <c r="B23" i="5"/>
  <c r="B22" i="5"/>
  <c r="B21" i="5"/>
  <c r="B20" i="5"/>
  <c r="B19" i="5"/>
  <c r="B18" i="5"/>
  <c r="B17" i="5"/>
  <c r="B16" i="5"/>
  <c r="B15" i="5"/>
  <c r="B14" i="5"/>
  <c r="B13" i="5"/>
  <c r="B12" i="5"/>
  <c r="B11" i="5"/>
  <c r="B10" i="5"/>
  <c r="B9" i="5"/>
  <c r="B8" i="5"/>
  <c r="B7" i="5"/>
  <c r="B6" i="5"/>
  <c r="B5" i="5"/>
  <c r="B4" i="5"/>
  <c r="B3" i="5"/>
  <c r="B18" i="3"/>
  <c r="B36" i="3"/>
  <c r="B35" i="3"/>
  <c r="B34" i="3"/>
  <c r="B33" i="3"/>
  <c r="B37" i="3"/>
  <c r="B32" i="3"/>
  <c r="B27" i="3"/>
  <c r="B28" i="3"/>
  <c r="B29" i="3"/>
  <c r="B30" i="3"/>
  <c r="B26" i="3"/>
  <c r="B24" i="3"/>
  <c r="B23" i="3"/>
  <c r="B12" i="3"/>
  <c r="B21" i="3"/>
  <c r="B11" i="3"/>
  <c r="B13" i="3"/>
  <c r="B14" i="3"/>
  <c r="B15" i="3"/>
  <c r="B16" i="3"/>
  <c r="B17" i="3"/>
  <c r="B19" i="3"/>
  <c r="B20" i="3"/>
  <c r="B22" i="3"/>
  <c r="B3" i="3"/>
  <c r="B5" i="3"/>
  <c r="B6" i="3"/>
  <c r="B7" i="3"/>
  <c r="B8" i="3"/>
  <c r="B9" i="3"/>
  <c r="B10" i="3"/>
  <c r="B4" i="3"/>
</calcChain>
</file>

<file path=xl/sharedStrings.xml><?xml version="1.0" encoding="utf-8"?>
<sst xmlns="http://schemas.openxmlformats.org/spreadsheetml/2006/main" count="693" uniqueCount="242">
  <si>
    <t>Colonnes Patrimoine</t>
  </si>
  <si>
    <t>Exemple</t>
  </si>
  <si>
    <t>REZSNCF001X124578</t>
  </si>
  <si>
    <t>Immeuble</t>
  </si>
  <si>
    <t>19 Rue du Château</t>
  </si>
  <si>
    <t>Boissise-le-Roi</t>
  </si>
  <si>
    <t>Face au Parc des etangs</t>
  </si>
  <si>
    <t>Batiment S2</t>
  </si>
  <si>
    <t>REZSNCF002X789456</t>
  </si>
  <si>
    <t>10</t>
  </si>
  <si>
    <t>103</t>
  </si>
  <si>
    <t>30/10/1982</t>
  </si>
  <si>
    <t>27/10/1987</t>
  </si>
  <si>
    <t>oui</t>
  </si>
  <si>
    <t>Ancien</t>
  </si>
  <si>
    <t>Collectif gaz de plus de 15 ans</t>
  </si>
  <si>
    <t>REZSNCF003X26454</t>
  </si>
  <si>
    <t>2</t>
  </si>
  <si>
    <t>211</t>
  </si>
  <si>
    <t>70</t>
  </si>
  <si>
    <t>Madame</t>
  </si>
  <si>
    <t>BERGAMOTTE</t>
  </si>
  <si>
    <t>Brigitte</t>
  </si>
  <si>
    <t>0689745621</t>
  </si>
  <si>
    <t>bbergamotte@gmail.com</t>
  </si>
  <si>
    <t>REZSNCF004X234878</t>
  </si>
  <si>
    <t>-1</t>
  </si>
  <si>
    <t>20</t>
  </si>
  <si>
    <t>non</t>
  </si>
  <si>
    <t>Cave</t>
  </si>
  <si>
    <t>Aucun</t>
  </si>
  <si>
    <t>T2</t>
  </si>
  <si>
    <t>Au choix parmi : Agricole, Artisanat, Bureau, Commerce, Crèche, Enseignement primaire, Enseignement secondaire, Etablissements sanitaires, Garage automobile, Immeuble, Industrie, Maison, Non communiqué, Site, Autre, Port / Navire, Château, Train, Gîte, Site sportif</t>
  </si>
  <si>
    <t>Au choix parmi : Studio, T1, T2, T3, T4, T5, T6, Plus de 6 pièces, Non communiqué, Autre, Navire, Château, Bureau, Loge, Commerce, Centrale nucléaire</t>
  </si>
  <si>
    <t>Au choix parmi : Abri de jardin, Appentis, Atelier, Auvent, Cabanon, Cave, Cellier, Chaufferie, Clapier, Débarras, Entrepôt, Gaine technique, Garage, Grange, Hangar, Local, Local électrique, Local Technique, Parking, Poulailler, Remise, Réserve, Non communiqué, Autre, Bâtiment complet, Cage d'escalier, Ascenseur, Façades, Toitures, Hall d'immeuble, Balcon, Transformateur, Voirie, Terrain, Extérieur, Grenier, Dépendance, Sous-station</t>
  </si>
  <si>
    <t>Au choix parmi : Oui, Non</t>
  </si>
  <si>
    <t>Au choix parmi : Madame, Monsieur</t>
  </si>
  <si>
    <t>Au choix parmi : Oui, Non, Inconnu</t>
  </si>
  <si>
    <t>5 chiffres sans espace et sans séparateur</t>
  </si>
  <si>
    <t>Format date jj/mm/aaaa</t>
  </si>
  <si>
    <t>Au choix parmi : Collectif fioul, Collectif gaz de plus de 15 ans, Collectif gaz de moins de 15 ans, Energies renouvelables Autre, Individuel bois, Individuel électrique de plus de 15 ans, Individuel électrique de moins de 15 ans, Individuel fioul, Individuel gaz de plus de 15 ans, Individuel gaz de moins de 15 ans, Réseau chaleur, Aucun, Non communiqué, Autre, Absence chauffage, Inconnu</t>
  </si>
  <si>
    <t>Bien / Type de bien</t>
  </si>
  <si>
    <t>Agricole</t>
  </si>
  <si>
    <t>Artisanat</t>
  </si>
  <si>
    <t xml:space="preserve"> Bureau</t>
  </si>
  <si>
    <t xml:space="preserve"> Commerce</t>
  </si>
  <si>
    <t xml:space="preserve"> Crèche</t>
  </si>
  <si>
    <t xml:space="preserve"> Enseignement primaire</t>
  </si>
  <si>
    <t xml:space="preserve"> Enseignement secondaire</t>
  </si>
  <si>
    <t xml:space="preserve"> Etablissements sanitaires</t>
  </si>
  <si>
    <t xml:space="preserve"> Garage automobile</t>
  </si>
  <si>
    <t xml:space="preserve"> Immeuble</t>
  </si>
  <si>
    <t xml:space="preserve"> Industrie</t>
  </si>
  <si>
    <t xml:space="preserve"> Maison</t>
  </si>
  <si>
    <t xml:space="preserve"> Non communiqué</t>
  </si>
  <si>
    <t xml:space="preserve"> Site</t>
  </si>
  <si>
    <t xml:space="preserve"> Autre</t>
  </si>
  <si>
    <t xml:space="preserve"> Port / Navire</t>
  </si>
  <si>
    <t xml:space="preserve"> Château</t>
  </si>
  <si>
    <t xml:space="preserve"> Train</t>
  </si>
  <si>
    <t xml:space="preserve"> Gîte</t>
  </si>
  <si>
    <t xml:space="preserve"> Site sportif</t>
  </si>
  <si>
    <t xml:space="preserve"> Type de bien</t>
  </si>
  <si>
    <t>Est une copro</t>
  </si>
  <si>
    <t>Oui</t>
  </si>
  <si>
    <t>Non</t>
  </si>
  <si>
    <t>Inconnu</t>
  </si>
  <si>
    <t>Collectif fioul</t>
  </si>
  <si>
    <t xml:space="preserve"> Collectif gaz de plus de 15 ans</t>
  </si>
  <si>
    <t xml:space="preserve"> Collectif gaz de moins de 15 ans</t>
  </si>
  <si>
    <t xml:space="preserve"> Energies renouvelables Autre</t>
  </si>
  <si>
    <t xml:space="preserve"> Individuel bois</t>
  </si>
  <si>
    <t xml:space="preserve"> Individuel électrique de plus de 15 ans</t>
  </si>
  <si>
    <t xml:space="preserve"> Individuel électrique de moins de 15 ans</t>
  </si>
  <si>
    <t xml:space="preserve"> Individuel fioul</t>
  </si>
  <si>
    <t xml:space="preserve"> Individuel gaz de plus de 15 ans</t>
  </si>
  <si>
    <t xml:space="preserve"> Individuel gaz de moins de 15 ans</t>
  </si>
  <si>
    <t xml:space="preserve"> Réseau chaleur</t>
  </si>
  <si>
    <t xml:space="preserve"> Aucun</t>
  </si>
  <si>
    <t xml:space="preserve"> Absence chauffage</t>
  </si>
  <si>
    <t>Chauffage</t>
  </si>
  <si>
    <t>Bien / Référence patrimoine</t>
  </si>
  <si>
    <t>Adresse / Adresse</t>
  </si>
  <si>
    <t>Adresse / Code postale</t>
  </si>
  <si>
    <t>Adresse / Ville</t>
  </si>
  <si>
    <t>Adresse / Complément</t>
  </si>
  <si>
    <t>Bâtiment / Nom</t>
  </si>
  <si>
    <t>Bâtiment / Référence patrimoine</t>
  </si>
  <si>
    <t>Bâtiment / Nb étage</t>
  </si>
  <si>
    <t>Bâtiment / Type de chauffage</t>
  </si>
  <si>
    <t>Bâtiment / Etat</t>
  </si>
  <si>
    <t>Bâtiment / Est une copropriété</t>
  </si>
  <si>
    <t>Bâtiment / Date de construction</t>
  </si>
  <si>
    <t>Bâtiment / Date de permis de construire</t>
  </si>
  <si>
    <t>Bâtiment / Références cadastrales</t>
  </si>
  <si>
    <t>Logement / Superficie</t>
  </si>
  <si>
    <t xml:space="preserve"> Logement / Numéro</t>
  </si>
  <si>
    <t xml:space="preserve"> Logement / Etage</t>
  </si>
  <si>
    <t>Logement / Référence patrimoine</t>
  </si>
  <si>
    <t>Logement / Type</t>
  </si>
  <si>
    <t xml:space="preserve"> Logement / Type de chauffage</t>
  </si>
  <si>
    <t xml:space="preserve"> Logement / Date de libération du logement</t>
  </si>
  <si>
    <t>Contact sur place / Civilité</t>
  </si>
  <si>
    <t>Contact sur place / Nom</t>
  </si>
  <si>
    <t>Contact sur place / Prénom</t>
  </si>
  <si>
    <t>Contact sur place / Téléphone</t>
  </si>
  <si>
    <t>Contact sur place / Mail</t>
  </si>
  <si>
    <t>Annexe / Type d'Annexe</t>
  </si>
  <si>
    <t>Annexe / Référence patrimoine</t>
  </si>
  <si>
    <t>Annexe / Étage</t>
  </si>
  <si>
    <t>Annexe / Superficie</t>
  </si>
  <si>
    <t>Annexe / Est une partie commune</t>
  </si>
  <si>
    <t>Annexe / Type de chauffage</t>
  </si>
  <si>
    <t>Dates</t>
  </si>
  <si>
    <t>01/01/1550</t>
  </si>
  <si>
    <t>Type</t>
  </si>
  <si>
    <t>T1</t>
  </si>
  <si>
    <t>T3</t>
  </si>
  <si>
    <t>T4</t>
  </si>
  <si>
    <t>T5</t>
  </si>
  <si>
    <t>T6</t>
  </si>
  <si>
    <t>Plus de 6 pièces</t>
  </si>
  <si>
    <t>Non communiqué</t>
  </si>
  <si>
    <t>Autre</t>
  </si>
  <si>
    <t>Navire</t>
  </si>
  <si>
    <t>Château</t>
  </si>
  <si>
    <t>Bureau</t>
  </si>
  <si>
    <t>Loge</t>
  </si>
  <si>
    <t>Commerce</t>
  </si>
  <si>
    <t>Centrale nucléaire</t>
  </si>
  <si>
    <t>Studio</t>
  </si>
  <si>
    <t>Civilité</t>
  </si>
  <si>
    <t>Monsieur</t>
  </si>
  <si>
    <t>UNIQUEMENT DU COPIER COLLER</t>
  </si>
  <si>
    <t>Type d'annexe</t>
  </si>
  <si>
    <t>Appentis</t>
  </si>
  <si>
    <t>Abri de jardin</t>
  </si>
  <si>
    <t>Atelier</t>
  </si>
  <si>
    <t>Auvent</t>
  </si>
  <si>
    <t>Cabanon</t>
  </si>
  <si>
    <t>Cellier</t>
  </si>
  <si>
    <t>Chaufferie</t>
  </si>
  <si>
    <t xml:space="preserve"> Clapier</t>
  </si>
  <si>
    <t>Débarras</t>
  </si>
  <si>
    <t>Entrepôt</t>
  </si>
  <si>
    <t>Gaine technique</t>
  </si>
  <si>
    <t xml:space="preserve"> Garage</t>
  </si>
  <si>
    <t>Grange</t>
  </si>
  <si>
    <t>Hangar</t>
  </si>
  <si>
    <t>Local</t>
  </si>
  <si>
    <t>Local électrique</t>
  </si>
  <si>
    <t>Local Technique</t>
  </si>
  <si>
    <t>Parking</t>
  </si>
  <si>
    <t>Poulailler</t>
  </si>
  <si>
    <t>Remise</t>
  </si>
  <si>
    <t>Réserve</t>
  </si>
  <si>
    <t>Bâtiment complet</t>
  </si>
  <si>
    <t>Cage d'escalier</t>
  </si>
  <si>
    <t>Ascenseur</t>
  </si>
  <si>
    <t>Façades</t>
  </si>
  <si>
    <t>Toitures</t>
  </si>
  <si>
    <t>Hall d'immeuble</t>
  </si>
  <si>
    <t>Balcon</t>
  </si>
  <si>
    <t>Transformateur</t>
  </si>
  <si>
    <t>Voirie</t>
  </si>
  <si>
    <t>Terrain</t>
  </si>
  <si>
    <t>Extérieur</t>
  </si>
  <si>
    <t>Grenier</t>
  </si>
  <si>
    <t>Dépendance</t>
  </si>
  <si>
    <t>Sous-station</t>
  </si>
  <si>
    <t>Contenu obligatoire</t>
  </si>
  <si>
    <t>Si pas de donnée, N/A indiqué par défaut</t>
  </si>
  <si>
    <t>Colonne obligatoire à remplir</t>
  </si>
  <si>
    <t>Facultatif</t>
  </si>
  <si>
    <t>LEGENDE</t>
  </si>
  <si>
    <t>27/03/2023</t>
  </si>
  <si>
    <t>10 chiffres sans séparateur</t>
  </si>
  <si>
    <t>BASE LISTING</t>
  </si>
  <si>
    <t>REGLES</t>
  </si>
  <si>
    <t>- Exception pour les listings d'annexes (sans logement) : ne pas prendre le module Logement, mais Annexe</t>
  </si>
  <si>
    <t>CONTACTS</t>
  </si>
  <si>
    <t>ANNEXES</t>
  </si>
  <si>
    <t>Si besoin, rajouter les contacts</t>
  </si>
  <si>
    <t>Si besoin, rajouter les annexes</t>
  </si>
  <si>
    <t>- Remplir les colonnes obligatoires en rouge  pour avoir un import de listing qui fonctionne dans Calypso</t>
  </si>
  <si>
    <t>- Possibilité de rajouter l'option Contacts et/ou l'option Annexes en renseignant, au minimum, leurs colonnes obligatoires</t>
  </si>
  <si>
    <t>- Remplir les colonnes obligatoires de la base listing pour avoir un import de listing qui fonctionne dans Calypso</t>
  </si>
  <si>
    <t xml:space="preserve">e-mail avec @ </t>
  </si>
  <si>
    <t>Ne pas remplir</t>
  </si>
  <si>
    <t>9 RUE DES MUGUETS</t>
  </si>
  <si>
    <t xml:space="preserve">9 RUE DES MUGUETS </t>
  </si>
  <si>
    <t>2 RUE DES MUGUETS</t>
  </si>
  <si>
    <t>6 RUE DES MUGUETS</t>
  </si>
  <si>
    <t>4 RUE DES MUGUETS</t>
  </si>
  <si>
    <t xml:space="preserve">2 RUE DES MARGUERITES </t>
  </si>
  <si>
    <t>2 RUE DES MARGUERITES</t>
  </si>
  <si>
    <t xml:space="preserve">6 RUE DES MIMOSAS </t>
  </si>
  <si>
    <t>6 RUE DES MIMOSAS</t>
  </si>
  <si>
    <t>BLAGNAC</t>
  </si>
  <si>
    <t>N/A</t>
  </si>
  <si>
    <t xml:space="preserve"> Logement / Invariant fiscal</t>
  </si>
  <si>
    <t>123456789012</t>
  </si>
  <si>
    <t>546718424677</t>
  </si>
  <si>
    <t>325456257671</t>
  </si>
  <si>
    <t>875613452376</t>
  </si>
  <si>
    <t>437586195286</t>
  </si>
  <si>
    <t>351625577572</t>
  </si>
  <si>
    <t>545412313454</t>
  </si>
  <si>
    <t>356894847878</t>
  </si>
  <si>
    <t>747845645868</t>
  </si>
  <si>
    <t>654698984545</t>
  </si>
  <si>
    <t>156549898987</t>
  </si>
  <si>
    <t>984564789625</t>
  </si>
  <si>
    <t>745564654888</t>
  </si>
  <si>
    <t>545655654947</t>
  </si>
  <si>
    <t>664545465484</t>
  </si>
  <si>
    <t>445654898215</t>
  </si>
  <si>
    <t>845645122258</t>
  </si>
  <si>
    <t>895455488455</t>
  </si>
  <si>
    <t>966644584425</t>
  </si>
  <si>
    <t>854514596856</t>
  </si>
  <si>
    <t>355645414654</t>
  </si>
  <si>
    <t>151454698456</t>
  </si>
  <si>
    <t>878545364698</t>
  </si>
  <si>
    <t>121888692453</t>
  </si>
  <si>
    <t>878572588978</t>
  </si>
  <si>
    <t>745212876968</t>
  </si>
  <si>
    <t>967334769475</t>
  </si>
  <si>
    <t>444258758778</t>
  </si>
  <si>
    <t>755383825221</t>
  </si>
  <si>
    <t>577575892555</t>
  </si>
  <si>
    <t>577674757489</t>
  </si>
  <si>
    <t>753414027878</t>
  </si>
  <si>
    <t>575775725425</t>
  </si>
  <si>
    <t>285856788785</t>
  </si>
  <si>
    <t>755425876875</t>
  </si>
  <si>
    <t>865345768976</t>
  </si>
  <si>
    <t>176678767868</t>
  </si>
  <si>
    <t>146456475824</t>
  </si>
  <si>
    <t>898552775777</t>
  </si>
  <si>
    <t>733476556447</t>
  </si>
  <si>
    <t>314775676647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</si>
</sst>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quot; &quot;##&quot; &quot;##&quot; &quot;##&quot; &quot;##"/>
    <numFmt numFmtId="166" formatCode="0;[Red]0"/>
    <numFmt numFmtId="167" formatCode="dd/mm/yy;@"/>
  </numFmts>
  <fonts count="15" x14ac:knownFonts="1">
    <font>
      <sz val="11"/>
      <color theme="1"/>
      <name val="Calibri"/>
      <family val="2"/>
      <scheme val="minor"/>
    </font>
    <font>
      <b/>
      <sz val="11"/>
      <color theme="0"/>
      <name val="Calibri"/>
      <family val="2"/>
      <scheme val="minor"/>
    </font>
    <font>
      <b/>
      <i/>
      <sz val="11"/>
      <color theme="0"/>
      <name val="Calibri"/>
      <family val="2"/>
      <scheme val="minor"/>
    </font>
    <font>
      <i/>
      <sz val="11"/>
      <color theme="1"/>
      <name val="Calibri"/>
      <family val="2"/>
      <scheme val="minor"/>
    </font>
    <font>
      <i/>
      <sz val="11"/>
      <color theme="1" tint="0.34998626667073579"/>
      <name val="Calibri"/>
      <family val="2"/>
      <scheme val="minor"/>
    </font>
    <font>
      <sz val="11"/>
      <name val="Calibri"/>
      <family val="2"/>
      <scheme val="minor"/>
    </font>
    <font>
      <b/>
      <sz val="11"/>
      <color theme="1"/>
      <name val="Calibri"/>
      <family val="2"/>
      <scheme val="minor"/>
    </font>
    <font>
      <sz val="8"/>
      <name val="Calibri"/>
      <family val="2"/>
      <scheme val="minor"/>
    </font>
    <font>
      <b/>
      <i/>
      <sz val="11"/>
      <color theme="1" tint="0.34998626667073579"/>
      <name val="Calibri"/>
      <family val="2"/>
      <scheme val="minor"/>
    </font>
    <font>
      <u/>
      <sz val="11"/>
      <color theme="10"/>
      <name val="Calibri"/>
      <family val="2"/>
      <scheme val="minor"/>
    </font>
    <font>
      <b/>
      <sz val="9"/>
      <color theme="1"/>
      <name val="Calibri"/>
      <family val="2"/>
      <scheme val="minor"/>
    </font>
    <font>
      <sz val="9"/>
      <color theme="1"/>
      <name val="Calibri"/>
      <family val="2"/>
      <scheme val="minor"/>
    </font>
    <font>
      <i/>
      <sz val="11"/>
      <color theme="4"/>
      <name val="Calibri"/>
      <family val="2"/>
      <scheme val="minor"/>
    </font>
    <font>
      <i/>
      <sz val="11"/>
      <color theme="1" tint="0.499984740745262"/>
      <name val="Calibri"/>
      <family val="2"/>
      <scheme val="minor"/>
    </font>
    <font>
      <i/>
      <sz val="11"/>
      <color rgb="FFFF0000"/>
      <name val="Calibri"/>
      <family val="2"/>
      <scheme val="minor"/>
    </font>
  </fonts>
  <fills count="7">
    <fill>
      <patternFill patternType="none"/>
    </fill>
    <fill>
      <patternFill patternType="gray125"/>
    </fill>
    <fill>
      <patternFill patternType="solid">
        <fgColor theme="1" tint="4.9989318521683403E-2"/>
        <bgColor indexed="64"/>
      </patternFill>
    </fill>
    <fill>
      <patternFill patternType="solid">
        <fgColor rgb="FFEA7E7E"/>
        <bgColor indexed="64"/>
      </patternFill>
    </fill>
    <fill>
      <patternFill patternType="solid">
        <fgColor theme="1"/>
        <bgColor indexed="64"/>
      </patternFill>
    </fill>
    <fill>
      <patternFill patternType="solid">
        <fgColor theme="7" tint="0.79998168889431442"/>
        <bgColor indexed="64"/>
      </patternFill>
    </fill>
    <fill>
      <patternFill patternType="solid">
        <fgColor theme="2"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style="thin">
        <color indexed="64"/>
      </right>
      <top style="thick">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ck">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60">
    <xf numFmtId="0" fontId="0" fillId="0" borderId="0" xfId="0"/>
    <xf numFmtId="14" fontId="0" fillId="0" borderId="0" xfId="0" applyNumberFormat="1"/>
    <xf numFmtId="49" fontId="3" fillId="0" borderId="0" xfId="0" applyNumberFormat="1" applyFont="1"/>
    <xf numFmtId="0" fontId="0" fillId="3" borderId="0" xfId="0" applyFill="1"/>
    <xf numFmtId="0" fontId="4" fillId="0" borderId="2" xfId="0" applyFont="1" applyBorder="1" applyAlignment="1">
      <alignment horizontal="center" vertical="center"/>
    </xf>
    <xf numFmtId="0" fontId="5" fillId="0" borderId="2" xfId="0" applyFont="1" applyBorder="1" applyAlignment="1">
      <alignment horizontal="left" vertical="center"/>
    </xf>
    <xf numFmtId="0" fontId="5" fillId="0" borderId="0" xfId="0" applyFont="1"/>
    <xf numFmtId="0" fontId="5" fillId="3" borderId="0" xfId="0" applyFont="1" applyFill="1"/>
    <xf numFmtId="164" fontId="0" fillId="0" borderId="0" xfId="0" applyNumberFormat="1"/>
    <xf numFmtId="165" fontId="0" fillId="0" borderId="0" xfId="0" applyNumberFormat="1"/>
    <xf numFmtId="0" fontId="0" fillId="0" borderId="1" xfId="0" applyBorder="1"/>
    <xf numFmtId="0" fontId="0" fillId="3" borderId="1" xfId="0" applyFill="1" applyBorder="1"/>
    <xf numFmtId="49" fontId="3" fillId="5" borderId="1" xfId="0" applyNumberFormat="1" applyFont="1" applyFill="1" applyBorder="1"/>
    <xf numFmtId="49" fontId="3" fillId="5" borderId="1" xfId="0" quotePrefix="1" applyNumberFormat="1" applyFont="1" applyFill="1" applyBorder="1"/>
    <xf numFmtId="14" fontId="0" fillId="0" borderId="5" xfId="0" applyNumberFormat="1" applyBorder="1"/>
    <xf numFmtId="0" fontId="0" fillId="0" borderId="5" xfId="0" applyBorder="1"/>
    <xf numFmtId="0" fontId="8" fillId="0" borderId="2" xfId="0" applyFont="1" applyBorder="1" applyAlignment="1">
      <alignment horizontal="center" vertical="center"/>
    </xf>
    <xf numFmtId="0" fontId="9" fillId="0" borderId="0" xfId="1"/>
    <xf numFmtId="49" fontId="3" fillId="5" borderId="3" xfId="0" applyNumberFormat="1" applyFont="1" applyFill="1" applyBorder="1"/>
    <xf numFmtId="49" fontId="3" fillId="5" borderId="6" xfId="0" applyNumberFormat="1" applyFont="1" applyFill="1" applyBorder="1"/>
    <xf numFmtId="0" fontId="0" fillId="3" borderId="7" xfId="0" applyFill="1" applyBorder="1"/>
    <xf numFmtId="0" fontId="0" fillId="0" borderId="7" xfId="0" applyBorder="1"/>
    <xf numFmtId="0" fontId="5" fillId="3" borderId="7" xfId="0" applyFont="1" applyFill="1" applyBorder="1"/>
    <xf numFmtId="0" fontId="5" fillId="0" borderId="7" xfId="0" applyFont="1" applyBorder="1"/>
    <xf numFmtId="0" fontId="0" fillId="0" borderId="8" xfId="0" applyBorder="1"/>
    <xf numFmtId="0" fontId="8" fillId="0" borderId="0" xfId="0" applyFont="1" applyAlignment="1">
      <alignment horizontal="center" vertical="center"/>
    </xf>
    <xf numFmtId="14" fontId="0" fillId="0" borderId="7" xfId="0" applyNumberFormat="1" applyBorder="1"/>
    <xf numFmtId="14" fontId="0" fillId="0" borderId="8" xfId="0" applyNumberFormat="1" applyBorder="1"/>
    <xf numFmtId="49" fontId="3" fillId="0" borderId="13" xfId="0" applyNumberFormat="1" applyFont="1" applyBorder="1"/>
    <xf numFmtId="0" fontId="12" fillId="0" borderId="14" xfId="0" applyFont="1" applyBorder="1"/>
    <xf numFmtId="14" fontId="12" fillId="0" borderId="14" xfId="0" applyNumberFormat="1" applyFont="1" applyBorder="1"/>
    <xf numFmtId="14" fontId="0" fillId="3" borderId="9" xfId="0" applyNumberFormat="1" applyFill="1" applyBorder="1"/>
    <xf numFmtId="14" fontId="0" fillId="3" borderId="7" xfId="0" applyNumberFormat="1" applyFill="1" applyBorder="1"/>
    <xf numFmtId="0" fontId="0" fillId="3" borderId="9" xfId="0" applyFill="1" applyBorder="1"/>
    <xf numFmtId="0" fontId="0" fillId="0" borderId="15" xfId="0" applyBorder="1"/>
    <xf numFmtId="0" fontId="0" fillId="6" borderId="7" xfId="0" applyFill="1" applyBorder="1"/>
    <xf numFmtId="0" fontId="0" fillId="6" borderId="8" xfId="0" applyFill="1" applyBorder="1"/>
    <xf numFmtId="14" fontId="0" fillId="6" borderId="9" xfId="0" applyNumberFormat="1" applyFill="1" applyBorder="1"/>
    <xf numFmtId="14" fontId="0" fillId="6" borderId="7" xfId="0" applyNumberFormat="1" applyFill="1" applyBorder="1"/>
    <xf numFmtId="14" fontId="0" fillId="6" borderId="8" xfId="0" applyNumberFormat="1" applyFill="1" applyBorder="1"/>
    <xf numFmtId="0" fontId="13" fillId="6" borderId="14" xfId="0" applyFont="1" applyFill="1" applyBorder="1"/>
    <xf numFmtId="14" fontId="13" fillId="6" borderId="14" xfId="0" applyNumberFormat="1" applyFont="1" applyFill="1" applyBorder="1"/>
    <xf numFmtId="49" fontId="14" fillId="0" borderId="0" xfId="0" applyNumberFormat="1" applyFont="1"/>
    <xf numFmtId="0" fontId="0" fillId="3" borderId="5" xfId="0" applyFill="1" applyBorder="1"/>
    <xf numFmtId="0" fontId="0" fillId="6" borderId="1" xfId="0" applyFill="1" applyBorder="1"/>
    <xf numFmtId="166" fontId="0" fillId="0" borderId="0" xfId="0" applyNumberFormat="1"/>
    <xf numFmtId="167" fontId="0" fillId="0" borderId="0" xfId="0" applyNumberFormat="1"/>
    <xf numFmtId="49" fontId="0" fillId="0" borderId="0" xfId="0" applyNumberFormat="1" applyAlignment="1">
      <alignment horizontal="right"/>
    </xf>
    <xf numFmtId="0" fontId="10" fillId="0" borderId="10" xfId="0" applyFont="1" applyBorder="1" applyAlignment="1">
      <alignment vertical="center" textRotation="255" wrapText="1"/>
    </xf>
    <xf numFmtId="0" fontId="11" fillId="0" borderId="11" xfId="0" applyFont="1" applyBorder="1" applyAlignment="1">
      <alignment vertical="center" textRotation="255" wrapText="1"/>
    </xf>
    <xf numFmtId="0" fontId="11" fillId="0" borderId="12" xfId="0" applyFont="1" applyBorder="1" applyAlignment="1">
      <alignment vertical="center" textRotation="255"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6" fillId="0" borderId="10" xfId="0" applyFont="1" applyBorder="1" applyAlignment="1">
      <alignment vertical="center" textRotation="255"/>
    </xf>
    <xf numFmtId="0" fontId="6" fillId="0" borderId="11" xfId="0" applyFont="1" applyBorder="1" applyAlignment="1">
      <alignment vertical="center" textRotation="255"/>
    </xf>
    <xf numFmtId="0" fontId="0" fillId="0" borderId="12" xfId="0" applyBorder="1" applyAlignment="1">
      <alignment vertical="center" textRotation="255"/>
    </xf>
    <xf numFmtId="0" fontId="0" fillId="0" borderId="12" xfId="0" applyBorder="1" applyAlignment="1">
      <alignment vertical="center" textRotation="255" wrapText="1"/>
    </xf>
  </cellXfs>
  <cellStyles count="2">
    <cellStyle name="Lien hypertexte" xfId="1" builtinId="8"/>
    <cellStyle name="Normal" xfId="0" builtinId="0"/>
  </cellStyles>
  <dxfs count="0"/>
  <tableStyles count="0" defaultTableStyle="TableStyleMedium2" defaultPivotStyle="PivotStyleLight16"/>
  <colors>
    <mruColors>
      <color rgb="FFEA7E7E"/>
      <color rgb="FFFB9D93"/>
      <color rgb="FFE9B9F3"/>
      <color rgb="FFF6F2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14999847407452621"/>
  </sheetPr>
  <dimension ref="A1:AH201"/>
  <sheetViews>
    <sheetView tabSelected="1" topLeftCell="P5" zoomScaleNormal="100" workbookViewId="0">
      <selection activeCell="W59" sqref="W59"/>
    </sheetView>
  </sheetViews>
  <sheetFormatPr baseColWidth="10" defaultRowHeight="15" x14ac:dyDescent="0.25"/>
  <cols>
    <col min="1" max="1" width="21.85546875" customWidth="1"/>
    <col min="2" max="2" width="26.5703125" bestFit="1" customWidth="1"/>
    <col min="3" max="3" width="48" bestFit="1" customWidth="1"/>
    <col min="4" max="4" width="25.5703125" style="8" bestFit="1" customWidth="1"/>
    <col min="5" max="5" width="17.42578125" customWidth="1"/>
    <col min="6" max="6" width="30.140625" bestFit="1" customWidth="1"/>
    <col min="7" max="7" width="15.140625" bestFit="1" customWidth="1"/>
    <col min="8" max="8" width="30.7109375" bestFit="1" customWidth="1"/>
    <col min="9" max="9" width="19" bestFit="1" customWidth="1"/>
    <col min="10" max="10" width="31.7109375" bestFit="1" customWidth="1"/>
    <col min="11" max="11" width="37.140625" style="1" bestFit="1" customWidth="1"/>
    <col min="12" max="12" width="29.5703125" style="1" bestFit="1" customWidth="1"/>
    <col min="13" max="13" width="28.5703125" bestFit="1" customWidth="1"/>
    <col min="14" max="14" width="14.28515625" bestFit="1" customWidth="1"/>
    <col min="15" max="15" width="27.42578125" bestFit="1" customWidth="1"/>
    <col min="16" max="16" width="15.85546875" bestFit="1" customWidth="1"/>
    <col min="17" max="17" width="33.85546875" bestFit="1" customWidth="1"/>
    <col min="18" max="18" width="17" bestFit="1" customWidth="1"/>
    <col min="19" max="19" width="19.42578125" bestFit="1" customWidth="1"/>
    <col min="20" max="20" width="20.7109375" bestFit="1" customWidth="1"/>
    <col min="21" max="21" width="28.5703125" style="1" bestFit="1" customWidth="1"/>
    <col min="22" max="22" width="40.42578125" style="1" bestFit="1" customWidth="1"/>
    <col min="23" max="23" width="40.42578125" style="45" customWidth="1"/>
    <col min="24" max="24" width="28.140625" style="14" customWidth="1"/>
    <col min="25" max="25" width="44" style="1" bestFit="1" customWidth="1"/>
    <col min="26" max="26" width="25" style="1" bestFit="1" customWidth="1"/>
    <col min="27" max="27" width="30" style="9" bestFit="1" customWidth="1"/>
    <col min="28" max="28" width="28.28515625" customWidth="1"/>
    <col min="29" max="29" width="21.85546875" style="15" bestFit="1" customWidth="1"/>
    <col min="30" max="30" width="35.85546875" bestFit="1" customWidth="1"/>
    <col min="31" max="31" width="13.7109375" bestFit="1" customWidth="1"/>
    <col min="32" max="32" width="17.7109375" bestFit="1" customWidth="1"/>
    <col min="33" max="33" width="30.140625" bestFit="1" customWidth="1"/>
    <col min="34" max="34" width="29.7109375" customWidth="1"/>
    <col min="35" max="35" width="28.140625" bestFit="1" customWidth="1"/>
  </cols>
  <sheetData>
    <row r="1" spans="1:34" x14ac:dyDescent="0.25">
      <c r="A1" s="3" t="s">
        <v>41</v>
      </c>
      <c r="B1" t="s">
        <v>81</v>
      </c>
      <c r="C1" s="7" t="s">
        <v>82</v>
      </c>
      <c r="D1" s="7" t="s">
        <v>83</v>
      </c>
      <c r="E1" s="7" t="s">
        <v>84</v>
      </c>
      <c r="F1" s="6" t="s">
        <v>85</v>
      </c>
      <c r="G1" s="3" t="s">
        <v>86</v>
      </c>
      <c r="H1" t="s">
        <v>87</v>
      </c>
      <c r="I1" t="s">
        <v>88</v>
      </c>
      <c r="J1" t="s">
        <v>94</v>
      </c>
      <c r="K1" t="s">
        <v>93</v>
      </c>
      <c r="L1" t="s">
        <v>92</v>
      </c>
      <c r="M1" t="s">
        <v>91</v>
      </c>
      <c r="N1" t="s">
        <v>90</v>
      </c>
      <c r="O1" t="s">
        <v>89</v>
      </c>
      <c r="P1" s="3" t="s">
        <v>99</v>
      </c>
      <c r="Q1" t="s">
        <v>98</v>
      </c>
      <c r="R1" t="s">
        <v>97</v>
      </c>
      <c r="S1" t="s">
        <v>96</v>
      </c>
      <c r="T1" t="s">
        <v>95</v>
      </c>
      <c r="U1" s="3" t="s">
        <v>100</v>
      </c>
      <c r="V1" t="s">
        <v>101</v>
      </c>
      <c r="W1" s="45" t="s">
        <v>200</v>
      </c>
      <c r="X1" s="43" t="s">
        <v>102</v>
      </c>
      <c r="Y1" s="3" t="s">
        <v>103</v>
      </c>
      <c r="Z1" t="s">
        <v>104</v>
      </c>
      <c r="AA1" s="3" t="s">
        <v>105</v>
      </c>
      <c r="AB1" t="s">
        <v>106</v>
      </c>
      <c r="AC1" s="43" t="s">
        <v>107</v>
      </c>
      <c r="AD1" t="s">
        <v>108</v>
      </c>
      <c r="AE1" t="s">
        <v>109</v>
      </c>
      <c r="AF1" t="s">
        <v>110</v>
      </c>
      <c r="AG1" t="s">
        <v>111</v>
      </c>
      <c r="AH1" t="s">
        <v>112</v>
      </c>
    </row>
    <row r="2" spans="1:34" x14ac:dyDescent="0.25">
      <c r="A2" t="s">
        <v>51</v>
      </c>
      <c r="C2" t="s">
        <v>189</v>
      </c>
      <c r="D2" s="8">
        <v>31700</v>
      </c>
      <c r="E2" t="s">
        <v>198</v>
      </c>
      <c r="G2" t="s">
        <v>199</v>
      </c>
      <c r="P2" t="s">
        <v>118</v>
      </c>
      <c r="Q2">
        <v>35002242</v>
      </c>
      <c r="S2">
        <v>2242</v>
      </c>
      <c r="U2" s="1" t="s">
        <v>54</v>
      </c>
      <c r="V2" s="46">
        <v>45524</v>
      </c>
      <c r="W2" s="47" t="s">
        <v>202</v>
      </c>
      <c r="AA2" s="1"/>
      <c r="AB2" s="17"/>
    </row>
    <row r="3" spans="1:34" x14ac:dyDescent="0.25">
      <c r="A3" t="s">
        <v>51</v>
      </c>
      <c r="C3" t="s">
        <v>189</v>
      </c>
      <c r="D3" s="8">
        <v>31700</v>
      </c>
      <c r="E3" t="s">
        <v>198</v>
      </c>
      <c r="G3" t="s">
        <v>199</v>
      </c>
      <c r="P3" t="s">
        <v>118</v>
      </c>
      <c r="Q3">
        <v>35002244</v>
      </c>
      <c r="S3">
        <v>2244</v>
      </c>
      <c r="U3" s="1" t="s">
        <v>54</v>
      </c>
      <c r="W3" s="47" t="s">
        <v>203</v>
      </c>
      <c r="AA3" s="1"/>
      <c r="AB3" s="17"/>
    </row>
    <row r="4" spans="1:34" x14ac:dyDescent="0.25">
      <c r="A4" t="s">
        <v>51</v>
      </c>
      <c r="C4" t="s">
        <v>190</v>
      </c>
      <c r="D4" s="8">
        <v>31700</v>
      </c>
      <c r="E4" t="s">
        <v>198</v>
      </c>
      <c r="G4" t="s">
        <v>199</v>
      </c>
      <c r="P4" t="s">
        <v>118</v>
      </c>
      <c r="Q4">
        <v>35002245</v>
      </c>
      <c r="S4">
        <v>2245</v>
      </c>
      <c r="U4" s="1" t="s">
        <v>54</v>
      </c>
      <c r="W4" s="47" t="s">
        <v>204</v>
      </c>
      <c r="AA4" s="1"/>
      <c r="AB4" s="17"/>
    </row>
    <row r="5" spans="1:34" x14ac:dyDescent="0.25">
      <c r="A5" t="s">
        <v>51</v>
      </c>
      <c r="C5" t="s">
        <v>190</v>
      </c>
      <c r="D5" s="8">
        <v>31700</v>
      </c>
      <c r="E5" t="s">
        <v>198</v>
      </c>
      <c r="G5" t="s">
        <v>199</v>
      </c>
      <c r="P5" t="s">
        <v>118</v>
      </c>
      <c r="Q5">
        <v>35002246</v>
      </c>
      <c r="S5">
        <v>2246</v>
      </c>
      <c r="U5" s="1" t="s">
        <v>54</v>
      </c>
      <c r="W5" s="47" t="s">
        <v>205</v>
      </c>
      <c r="AA5" s="1"/>
      <c r="AB5" s="17"/>
    </row>
    <row r="6" spans="1:34" x14ac:dyDescent="0.25">
      <c r="A6" t="s">
        <v>51</v>
      </c>
      <c r="C6" t="s">
        <v>189</v>
      </c>
      <c r="D6" s="8">
        <v>31700</v>
      </c>
      <c r="E6" t="s">
        <v>198</v>
      </c>
      <c r="G6" t="s">
        <v>199</v>
      </c>
      <c r="P6" t="s">
        <v>118</v>
      </c>
      <c r="Q6">
        <v>35002250</v>
      </c>
      <c r="S6">
        <v>2250</v>
      </c>
      <c r="U6" s="1" t="s">
        <v>54</v>
      </c>
      <c r="W6" s="47" t="s">
        <v>206</v>
      </c>
      <c r="AA6" s="1"/>
      <c r="AB6" s="17"/>
    </row>
    <row r="7" spans="1:34" x14ac:dyDescent="0.25">
      <c r="A7" t="s">
        <v>51</v>
      </c>
      <c r="C7" t="s">
        <v>189</v>
      </c>
      <c r="D7" s="8">
        <v>31700</v>
      </c>
      <c r="E7" t="s">
        <v>198</v>
      </c>
      <c r="G7" t="s">
        <v>199</v>
      </c>
      <c r="P7" t="s">
        <v>118</v>
      </c>
      <c r="Q7">
        <v>35002251</v>
      </c>
      <c r="S7">
        <v>2251</v>
      </c>
      <c r="U7" s="1" t="s">
        <v>54</v>
      </c>
      <c r="W7" s="47" t="s">
        <v>207</v>
      </c>
      <c r="AA7" s="1"/>
      <c r="AB7" s="17"/>
    </row>
    <row r="8" spans="1:34" x14ac:dyDescent="0.25">
      <c r="A8" t="s">
        <v>51</v>
      </c>
      <c r="C8" t="s">
        <v>189</v>
      </c>
      <c r="D8" s="8">
        <v>31700</v>
      </c>
      <c r="E8" t="s">
        <v>198</v>
      </c>
      <c r="G8" t="s">
        <v>199</v>
      </c>
      <c r="P8" t="s">
        <v>118</v>
      </c>
      <c r="Q8">
        <v>35002252</v>
      </c>
      <c r="S8">
        <v>2252</v>
      </c>
      <c r="U8" s="1" t="s">
        <v>54</v>
      </c>
      <c r="W8" s="47" t="s">
        <v>208</v>
      </c>
      <c r="AA8" s="1"/>
      <c r="AB8" s="17"/>
    </row>
    <row r="9" spans="1:34" x14ac:dyDescent="0.25">
      <c r="A9" t="s">
        <v>51</v>
      </c>
      <c r="C9" t="s">
        <v>189</v>
      </c>
      <c r="D9" s="8">
        <v>31700</v>
      </c>
      <c r="E9" t="s">
        <v>198</v>
      </c>
      <c r="G9" t="s">
        <v>199</v>
      </c>
      <c r="P9" t="s">
        <v>118</v>
      </c>
      <c r="Q9">
        <v>35002253</v>
      </c>
      <c r="S9">
        <v>2253</v>
      </c>
      <c r="U9" s="1" t="s">
        <v>54</v>
      </c>
      <c r="W9" s="47" t="s">
        <v>209</v>
      </c>
      <c r="AA9" s="1"/>
      <c r="AB9" s="17"/>
    </row>
    <row r="10" spans="1:34" x14ac:dyDescent="0.25">
      <c r="A10" t="s">
        <v>51</v>
      </c>
      <c r="C10" t="s">
        <v>189</v>
      </c>
      <c r="D10" s="8">
        <v>31700</v>
      </c>
      <c r="E10" t="s">
        <v>198</v>
      </c>
      <c r="G10" t="s">
        <v>199</v>
      </c>
      <c r="P10" t="s">
        <v>118</v>
      </c>
      <c r="Q10">
        <v>35002255</v>
      </c>
      <c r="S10">
        <v>2255</v>
      </c>
      <c r="U10" s="1" t="s">
        <v>54</v>
      </c>
      <c r="W10" s="47" t="s">
        <v>210</v>
      </c>
      <c r="AA10" s="1"/>
      <c r="AB10" s="17"/>
    </row>
    <row r="11" spans="1:34" x14ac:dyDescent="0.25">
      <c r="A11" t="s">
        <v>51</v>
      </c>
      <c r="C11" t="s">
        <v>189</v>
      </c>
      <c r="D11" s="8">
        <v>31700</v>
      </c>
      <c r="E11" t="s">
        <v>198</v>
      </c>
      <c r="G11" t="s">
        <v>199</v>
      </c>
      <c r="P11" t="s">
        <v>118</v>
      </c>
      <c r="Q11">
        <v>35002256</v>
      </c>
      <c r="S11">
        <v>2256</v>
      </c>
      <c r="U11" s="1" t="s">
        <v>54</v>
      </c>
      <c r="W11" s="47" t="s">
        <v>211</v>
      </c>
      <c r="AA11" s="1"/>
      <c r="AB11" s="17"/>
    </row>
    <row r="12" spans="1:34" x14ac:dyDescent="0.25">
      <c r="A12" t="s">
        <v>51</v>
      </c>
      <c r="C12" t="s">
        <v>190</v>
      </c>
      <c r="D12" s="8">
        <v>31700</v>
      </c>
      <c r="E12" t="s">
        <v>198</v>
      </c>
      <c r="G12" t="s">
        <v>199</v>
      </c>
      <c r="P12" t="s">
        <v>118</v>
      </c>
      <c r="Q12">
        <v>35002257</v>
      </c>
      <c r="S12">
        <v>2257</v>
      </c>
      <c r="U12" s="1" t="s">
        <v>54</v>
      </c>
      <c r="W12" s="47" t="s">
        <v>212</v>
      </c>
      <c r="AA12" s="1"/>
      <c r="AB12" s="17"/>
    </row>
    <row r="13" spans="1:34" x14ac:dyDescent="0.25">
      <c r="A13" t="s">
        <v>51</v>
      </c>
      <c r="C13" t="s">
        <v>189</v>
      </c>
      <c r="D13" s="8">
        <v>31700</v>
      </c>
      <c r="E13" t="s">
        <v>198</v>
      </c>
      <c r="G13" t="s">
        <v>199</v>
      </c>
      <c r="P13" t="s">
        <v>118</v>
      </c>
      <c r="Q13">
        <v>35002258</v>
      </c>
      <c r="S13">
        <v>2258</v>
      </c>
      <c r="U13" s="1" t="s">
        <v>54</v>
      </c>
      <c r="W13" s="47" t="s">
        <v>213</v>
      </c>
      <c r="AA13" s="1"/>
      <c r="AB13" s="17"/>
    </row>
    <row r="14" spans="1:34" x14ac:dyDescent="0.25">
      <c r="A14" t="s">
        <v>51</v>
      </c>
      <c r="C14" t="s">
        <v>189</v>
      </c>
      <c r="D14" s="8">
        <v>31700</v>
      </c>
      <c r="E14" t="s">
        <v>198</v>
      </c>
      <c r="G14" t="s">
        <v>199</v>
      </c>
      <c r="P14" t="s">
        <v>118</v>
      </c>
      <c r="Q14">
        <v>35002259</v>
      </c>
      <c r="S14">
        <v>2259</v>
      </c>
      <c r="U14" s="1" t="s">
        <v>54</v>
      </c>
      <c r="W14" s="47" t="s">
        <v>214</v>
      </c>
      <c r="X14"/>
      <c r="AA14" s="1"/>
      <c r="AB14" s="17"/>
    </row>
    <row r="15" spans="1:34" x14ac:dyDescent="0.25">
      <c r="A15" t="s">
        <v>51</v>
      </c>
      <c r="C15" t="s">
        <v>189</v>
      </c>
      <c r="D15" s="8">
        <v>31700</v>
      </c>
      <c r="E15" t="s">
        <v>198</v>
      </c>
      <c r="G15" t="s">
        <v>199</v>
      </c>
      <c r="P15" t="s">
        <v>118</v>
      </c>
      <c r="Q15">
        <v>35002260</v>
      </c>
      <c r="S15">
        <v>2260</v>
      </c>
      <c r="U15" s="1" t="s">
        <v>54</v>
      </c>
      <c r="W15" s="47" t="s">
        <v>215</v>
      </c>
      <c r="AA15" s="1"/>
      <c r="AB15" s="17"/>
    </row>
    <row r="16" spans="1:34" x14ac:dyDescent="0.25">
      <c r="A16" t="s">
        <v>51</v>
      </c>
      <c r="C16" t="s">
        <v>189</v>
      </c>
      <c r="D16" s="8">
        <v>31700</v>
      </c>
      <c r="E16" t="s">
        <v>198</v>
      </c>
      <c r="G16" t="s">
        <v>199</v>
      </c>
      <c r="P16" t="s">
        <v>118</v>
      </c>
      <c r="Q16">
        <v>35002261</v>
      </c>
      <c r="S16">
        <v>2261</v>
      </c>
      <c r="U16" s="1" t="s">
        <v>54</v>
      </c>
      <c r="W16" s="47" t="s">
        <v>216</v>
      </c>
      <c r="AA16" s="1"/>
    </row>
    <row r="17" spans="1:27" x14ac:dyDescent="0.25">
      <c r="A17" t="s">
        <v>51</v>
      </c>
      <c r="C17" t="s">
        <v>189</v>
      </c>
      <c r="D17" s="8">
        <v>31700</v>
      </c>
      <c r="E17" t="s">
        <v>198</v>
      </c>
      <c r="G17" t="s">
        <v>199</v>
      </c>
      <c r="P17" t="s">
        <v>118</v>
      </c>
      <c r="Q17">
        <v>35002262</v>
      </c>
      <c r="S17">
        <v>2262</v>
      </c>
      <c r="U17" s="1" t="s">
        <v>54</v>
      </c>
      <c r="W17" s="47" t="s">
        <v>217</v>
      </c>
      <c r="AA17" s="1"/>
    </row>
    <row r="18" spans="1:27" x14ac:dyDescent="0.25">
      <c r="A18" t="s">
        <v>51</v>
      </c>
      <c r="C18" t="s">
        <v>189</v>
      </c>
      <c r="D18" s="8">
        <v>31700</v>
      </c>
      <c r="E18" t="s">
        <v>198</v>
      </c>
      <c r="G18" t="s">
        <v>199</v>
      </c>
      <c r="P18" t="s">
        <v>118</v>
      </c>
      <c r="Q18">
        <v>35002263</v>
      </c>
      <c r="S18">
        <v>2263</v>
      </c>
      <c r="U18" s="1" t="s">
        <v>54</v>
      </c>
      <c r="W18" s="47" t="s">
        <v>218</v>
      </c>
      <c r="AA18" s="1"/>
    </row>
    <row r="19" spans="1:27" x14ac:dyDescent="0.25">
      <c r="A19" t="s">
        <v>51</v>
      </c>
      <c r="C19" t="s">
        <v>189</v>
      </c>
      <c r="D19" s="8">
        <v>31700</v>
      </c>
      <c r="E19" t="s">
        <v>198</v>
      </c>
      <c r="G19" t="s">
        <v>199</v>
      </c>
      <c r="P19" t="s">
        <v>118</v>
      </c>
      <c r="Q19">
        <v>35002265</v>
      </c>
      <c r="S19">
        <v>2265</v>
      </c>
      <c r="U19" s="1" t="s">
        <v>54</v>
      </c>
      <c r="W19" s="47" t="s">
        <v>235</v>
      </c>
      <c r="AA19" s="1"/>
    </row>
    <row r="20" spans="1:27" x14ac:dyDescent="0.25">
      <c r="A20" t="s">
        <v>51</v>
      </c>
      <c r="C20" t="s">
        <v>190</v>
      </c>
      <c r="D20" s="8">
        <v>31700</v>
      </c>
      <c r="E20" t="s">
        <v>198</v>
      </c>
      <c r="G20" t="s">
        <v>199</v>
      </c>
      <c r="P20" t="s">
        <v>118</v>
      </c>
      <c r="Q20">
        <v>35002266</v>
      </c>
      <c r="S20">
        <v>2266</v>
      </c>
      <c r="U20" s="1" t="s">
        <v>54</v>
      </c>
      <c r="W20" s="47" t="s">
        <v>201</v>
      </c>
      <c r="AA20" s="1"/>
    </row>
    <row r="21" spans="1:27" x14ac:dyDescent="0.25">
      <c r="A21" t="s">
        <v>51</v>
      </c>
      <c r="C21" t="s">
        <v>189</v>
      </c>
      <c r="D21" s="8">
        <v>31700</v>
      </c>
      <c r="E21" t="s">
        <v>198</v>
      </c>
      <c r="G21" t="s">
        <v>199</v>
      </c>
      <c r="P21" t="s">
        <v>118</v>
      </c>
      <c r="Q21">
        <v>35002268</v>
      </c>
      <c r="S21">
        <v>2268</v>
      </c>
      <c r="U21" s="1" t="s">
        <v>54</v>
      </c>
      <c r="W21" s="47" t="s">
        <v>234</v>
      </c>
      <c r="AA21" s="1"/>
    </row>
    <row r="22" spans="1:27" x14ac:dyDescent="0.25">
      <c r="A22" t="s">
        <v>51</v>
      </c>
      <c r="C22" t="s">
        <v>189</v>
      </c>
      <c r="D22" s="8">
        <v>31700</v>
      </c>
      <c r="E22" t="s">
        <v>198</v>
      </c>
      <c r="G22" t="s">
        <v>199</v>
      </c>
      <c r="P22" t="s">
        <v>118</v>
      </c>
      <c r="Q22">
        <v>35002269</v>
      </c>
      <c r="S22">
        <v>2269</v>
      </c>
      <c r="U22" s="1" t="s">
        <v>54</v>
      </c>
      <c r="W22" s="47" t="s">
        <v>201</v>
      </c>
      <c r="AA22" s="1"/>
    </row>
    <row r="23" spans="1:27" x14ac:dyDescent="0.25">
      <c r="A23" t="s">
        <v>51</v>
      </c>
      <c r="C23" t="s">
        <v>189</v>
      </c>
      <c r="D23" s="8">
        <v>31700</v>
      </c>
      <c r="E23" t="s">
        <v>198</v>
      </c>
      <c r="G23" t="s">
        <v>199</v>
      </c>
      <c r="P23" t="s">
        <v>118</v>
      </c>
      <c r="Q23">
        <v>35002271</v>
      </c>
      <c r="S23">
        <v>2271</v>
      </c>
      <c r="U23" s="1" t="s">
        <v>54</v>
      </c>
      <c r="W23" s="47" t="s">
        <v>201</v>
      </c>
      <c r="AA23" s="1"/>
    </row>
    <row r="24" spans="1:27" x14ac:dyDescent="0.25">
      <c r="A24" t="s">
        <v>51</v>
      </c>
      <c r="C24" t="s">
        <v>191</v>
      </c>
      <c r="D24" s="8">
        <v>31700</v>
      </c>
      <c r="E24" t="s">
        <v>198</v>
      </c>
      <c r="G24" t="s">
        <v>199</v>
      </c>
      <c r="P24" t="s">
        <v>118</v>
      </c>
      <c r="Q24">
        <v>35002274</v>
      </c>
      <c r="S24">
        <v>2274</v>
      </c>
      <c r="U24" s="1" t="s">
        <v>54</v>
      </c>
      <c r="W24" s="47" t="s">
        <v>219</v>
      </c>
      <c r="AA24" s="1"/>
    </row>
    <row r="25" spans="1:27" x14ac:dyDescent="0.25">
      <c r="A25" t="s">
        <v>51</v>
      </c>
      <c r="C25" t="s">
        <v>191</v>
      </c>
      <c r="D25" s="8">
        <v>31700</v>
      </c>
      <c r="E25" t="s">
        <v>198</v>
      </c>
      <c r="G25" t="s">
        <v>199</v>
      </c>
      <c r="P25" t="s">
        <v>118</v>
      </c>
      <c r="Q25">
        <v>35002276</v>
      </c>
      <c r="S25">
        <v>2276</v>
      </c>
      <c r="U25" s="1" t="s">
        <v>54</v>
      </c>
      <c r="W25" s="47" t="s">
        <v>201</v>
      </c>
      <c r="AA25" s="1"/>
    </row>
    <row r="26" spans="1:27" x14ac:dyDescent="0.25">
      <c r="A26" t="s">
        <v>51</v>
      </c>
      <c r="C26" t="s">
        <v>191</v>
      </c>
      <c r="D26" s="8">
        <v>31700</v>
      </c>
      <c r="E26" t="s">
        <v>198</v>
      </c>
      <c r="G26" t="s">
        <v>199</v>
      </c>
      <c r="P26" t="s">
        <v>118</v>
      </c>
      <c r="Q26">
        <v>35002278</v>
      </c>
      <c r="S26">
        <v>2278</v>
      </c>
      <c r="U26" s="1" t="s">
        <v>54</v>
      </c>
      <c r="W26" s="47" t="s">
        <v>236</v>
      </c>
      <c r="AA26" s="1"/>
    </row>
    <row r="27" spans="1:27" x14ac:dyDescent="0.25">
      <c r="A27" t="s">
        <v>51</v>
      </c>
      <c r="C27" t="s">
        <v>191</v>
      </c>
      <c r="D27" s="8">
        <v>31700</v>
      </c>
      <c r="E27" t="s">
        <v>198</v>
      </c>
      <c r="G27" t="s">
        <v>199</v>
      </c>
      <c r="P27" t="s">
        <v>117</v>
      </c>
      <c r="Q27">
        <v>35002279</v>
      </c>
      <c r="S27">
        <v>2279</v>
      </c>
      <c r="U27" s="1" t="s">
        <v>54</v>
      </c>
      <c r="W27" s="47" t="s">
        <v>201</v>
      </c>
      <c r="AA27" s="1"/>
    </row>
    <row r="28" spans="1:27" x14ac:dyDescent="0.25">
      <c r="A28" t="s">
        <v>51</v>
      </c>
      <c r="C28" t="s">
        <v>191</v>
      </c>
      <c r="D28" s="8">
        <v>31700</v>
      </c>
      <c r="E28" t="s">
        <v>198</v>
      </c>
      <c r="G28" t="s">
        <v>199</v>
      </c>
      <c r="P28" t="s">
        <v>117</v>
      </c>
      <c r="Q28">
        <v>35002281</v>
      </c>
      <c r="S28">
        <v>2281</v>
      </c>
      <c r="U28" s="1" t="s">
        <v>54</v>
      </c>
      <c r="W28" s="47" t="s">
        <v>237</v>
      </c>
      <c r="AA28" s="1"/>
    </row>
    <row r="29" spans="1:27" x14ac:dyDescent="0.25">
      <c r="A29" t="s">
        <v>51</v>
      </c>
      <c r="C29" t="s">
        <v>192</v>
      </c>
      <c r="D29" s="8">
        <v>31700</v>
      </c>
      <c r="E29" t="s">
        <v>198</v>
      </c>
      <c r="G29" t="s">
        <v>199</v>
      </c>
      <c r="P29" t="s">
        <v>116</v>
      </c>
      <c r="Q29">
        <v>35002282</v>
      </c>
      <c r="S29">
        <v>2282</v>
      </c>
      <c r="U29" s="1" t="s">
        <v>54</v>
      </c>
      <c r="W29" s="47" t="s">
        <v>220</v>
      </c>
      <c r="AA29" s="1"/>
    </row>
    <row r="30" spans="1:27" x14ac:dyDescent="0.25">
      <c r="A30" t="s">
        <v>51</v>
      </c>
      <c r="C30" t="s">
        <v>192</v>
      </c>
      <c r="D30" s="8">
        <v>31700</v>
      </c>
      <c r="E30" t="s">
        <v>198</v>
      </c>
      <c r="G30" t="s">
        <v>199</v>
      </c>
      <c r="P30" t="s">
        <v>117</v>
      </c>
      <c r="Q30">
        <v>35002289</v>
      </c>
      <c r="S30">
        <v>2289</v>
      </c>
      <c r="U30" s="1" t="s">
        <v>54</v>
      </c>
      <c r="W30" s="47" t="s">
        <v>201</v>
      </c>
      <c r="AA30" s="1"/>
    </row>
    <row r="31" spans="1:27" x14ac:dyDescent="0.25">
      <c r="A31" t="s">
        <v>51</v>
      </c>
      <c r="C31" t="s">
        <v>193</v>
      </c>
      <c r="D31" s="8">
        <v>31700</v>
      </c>
      <c r="E31" t="s">
        <v>198</v>
      </c>
      <c r="G31" t="s">
        <v>199</v>
      </c>
      <c r="P31" t="s">
        <v>117</v>
      </c>
      <c r="Q31">
        <v>35002295</v>
      </c>
      <c r="S31">
        <v>2295</v>
      </c>
      <c r="U31" s="1" t="s">
        <v>54</v>
      </c>
      <c r="W31" s="47" t="s">
        <v>221</v>
      </c>
      <c r="AA31" s="1"/>
    </row>
    <row r="32" spans="1:27" x14ac:dyDescent="0.25">
      <c r="A32" t="s">
        <v>51</v>
      </c>
      <c r="C32" t="s">
        <v>193</v>
      </c>
      <c r="D32" s="8">
        <v>31700</v>
      </c>
      <c r="E32" t="s">
        <v>198</v>
      </c>
      <c r="G32" t="s">
        <v>199</v>
      </c>
      <c r="P32" t="s">
        <v>117</v>
      </c>
      <c r="Q32">
        <v>35002297</v>
      </c>
      <c r="S32">
        <v>2297</v>
      </c>
      <c r="U32" s="1" t="s">
        <v>54</v>
      </c>
      <c r="W32" s="47" t="s">
        <v>201</v>
      </c>
      <c r="AA32" s="1"/>
    </row>
    <row r="33" spans="1:27" x14ac:dyDescent="0.25">
      <c r="A33" t="s">
        <v>51</v>
      </c>
      <c r="C33" t="s">
        <v>194</v>
      </c>
      <c r="D33" s="8">
        <v>31700</v>
      </c>
      <c r="E33" t="s">
        <v>198</v>
      </c>
      <c r="G33" t="s">
        <v>199</v>
      </c>
      <c r="P33" t="s">
        <v>117</v>
      </c>
      <c r="Q33">
        <v>38002427</v>
      </c>
      <c r="S33">
        <v>2427</v>
      </c>
      <c r="U33" s="1" t="s">
        <v>54</v>
      </c>
      <c r="W33" s="47" t="s">
        <v>201</v>
      </c>
      <c r="AA33" s="1"/>
    </row>
    <row r="34" spans="1:27" x14ac:dyDescent="0.25">
      <c r="A34" t="s">
        <v>51</v>
      </c>
      <c r="C34" t="s">
        <v>195</v>
      </c>
      <c r="D34" s="8">
        <v>31700</v>
      </c>
      <c r="E34" t="s">
        <v>198</v>
      </c>
      <c r="G34" t="s">
        <v>199</v>
      </c>
      <c r="P34" t="s">
        <v>117</v>
      </c>
      <c r="Q34">
        <v>38002428</v>
      </c>
      <c r="S34">
        <v>2428</v>
      </c>
      <c r="U34" s="1" t="s">
        <v>54</v>
      </c>
      <c r="W34" s="47" t="s">
        <v>222</v>
      </c>
      <c r="AA34" s="1"/>
    </row>
    <row r="35" spans="1:27" x14ac:dyDescent="0.25">
      <c r="A35" t="s">
        <v>51</v>
      </c>
      <c r="C35" t="s">
        <v>194</v>
      </c>
      <c r="D35" s="8">
        <v>31700</v>
      </c>
      <c r="E35" t="s">
        <v>198</v>
      </c>
      <c r="G35" t="s">
        <v>199</v>
      </c>
      <c r="P35" t="s">
        <v>117</v>
      </c>
      <c r="Q35">
        <v>38002429</v>
      </c>
      <c r="S35">
        <v>2429</v>
      </c>
      <c r="U35" s="1" t="s">
        <v>54</v>
      </c>
      <c r="W35" s="47" t="s">
        <v>201</v>
      </c>
      <c r="AA35" s="1"/>
    </row>
    <row r="36" spans="1:27" x14ac:dyDescent="0.25">
      <c r="A36" t="s">
        <v>51</v>
      </c>
      <c r="C36" t="s">
        <v>194</v>
      </c>
      <c r="D36" s="8">
        <v>31700</v>
      </c>
      <c r="E36" t="s">
        <v>198</v>
      </c>
      <c r="G36" t="s">
        <v>199</v>
      </c>
      <c r="P36" t="s">
        <v>117</v>
      </c>
      <c r="Q36">
        <v>38002430</v>
      </c>
      <c r="S36">
        <v>2430</v>
      </c>
      <c r="U36" s="1" t="s">
        <v>54</v>
      </c>
      <c r="W36" s="47" t="s">
        <v>201</v>
      </c>
      <c r="AA36" s="1"/>
    </row>
    <row r="37" spans="1:27" x14ac:dyDescent="0.25">
      <c r="A37" t="s">
        <v>51</v>
      </c>
      <c r="C37" t="s">
        <v>195</v>
      </c>
      <c r="D37" s="8">
        <v>31700</v>
      </c>
      <c r="E37" t="s">
        <v>198</v>
      </c>
      <c r="G37" t="s">
        <v>199</v>
      </c>
      <c r="P37" t="s">
        <v>31</v>
      </c>
      <c r="Q37">
        <v>38002431</v>
      </c>
      <c r="S37">
        <v>2431</v>
      </c>
      <c r="U37" s="1" t="s">
        <v>54</v>
      </c>
      <c r="W37" s="47" t="s">
        <v>223</v>
      </c>
      <c r="AA37" s="1"/>
    </row>
    <row r="38" spans="1:27" x14ac:dyDescent="0.25">
      <c r="A38" t="s">
        <v>51</v>
      </c>
      <c r="C38" t="s">
        <v>195</v>
      </c>
      <c r="D38" s="8">
        <v>31700</v>
      </c>
      <c r="E38" t="s">
        <v>198</v>
      </c>
      <c r="G38" t="s">
        <v>199</v>
      </c>
      <c r="P38" t="s">
        <v>117</v>
      </c>
      <c r="Q38">
        <v>38002434</v>
      </c>
      <c r="S38">
        <v>2434</v>
      </c>
      <c r="U38" s="1" t="s">
        <v>54</v>
      </c>
      <c r="W38" s="47" t="s">
        <v>201</v>
      </c>
      <c r="AA38" s="1"/>
    </row>
    <row r="39" spans="1:27" x14ac:dyDescent="0.25">
      <c r="A39" t="s">
        <v>51</v>
      </c>
      <c r="C39" t="s">
        <v>195</v>
      </c>
      <c r="D39" s="8">
        <v>31700</v>
      </c>
      <c r="E39" t="s">
        <v>198</v>
      </c>
      <c r="G39" t="s">
        <v>199</v>
      </c>
      <c r="P39" t="s">
        <v>117</v>
      </c>
      <c r="Q39">
        <v>38002436</v>
      </c>
      <c r="S39">
        <v>2436</v>
      </c>
      <c r="U39" s="1" t="s">
        <v>54</v>
      </c>
      <c r="W39" s="47" t="s">
        <v>238</v>
      </c>
      <c r="AA39" s="1"/>
    </row>
    <row r="40" spans="1:27" x14ac:dyDescent="0.25">
      <c r="A40" t="s">
        <v>51</v>
      </c>
      <c r="C40" t="s">
        <v>194</v>
      </c>
      <c r="D40" s="8">
        <v>31700</v>
      </c>
      <c r="E40" t="s">
        <v>198</v>
      </c>
      <c r="G40" t="s">
        <v>199</v>
      </c>
      <c r="P40" t="s">
        <v>117</v>
      </c>
      <c r="Q40">
        <v>38002442</v>
      </c>
      <c r="S40">
        <v>2442</v>
      </c>
      <c r="U40" s="1" t="s">
        <v>54</v>
      </c>
      <c r="W40" s="47" t="s">
        <v>201</v>
      </c>
      <c r="AA40" s="1"/>
    </row>
    <row r="41" spans="1:27" x14ac:dyDescent="0.25">
      <c r="A41" t="s">
        <v>51</v>
      </c>
      <c r="C41" t="s">
        <v>195</v>
      </c>
      <c r="D41" s="8">
        <v>31700</v>
      </c>
      <c r="E41" t="s">
        <v>198</v>
      </c>
      <c r="G41" t="s">
        <v>199</v>
      </c>
      <c r="P41" t="s">
        <v>117</v>
      </c>
      <c r="Q41">
        <v>38002445</v>
      </c>
      <c r="S41">
        <v>2445</v>
      </c>
      <c r="U41" s="1" t="s">
        <v>54</v>
      </c>
      <c r="W41" s="47" t="s">
        <v>239</v>
      </c>
      <c r="AA41" s="1"/>
    </row>
    <row r="42" spans="1:27" x14ac:dyDescent="0.25">
      <c r="A42" t="s">
        <v>51</v>
      </c>
      <c r="C42" t="s">
        <v>196</v>
      </c>
      <c r="D42" s="8">
        <v>31700</v>
      </c>
      <c r="E42" t="s">
        <v>198</v>
      </c>
      <c r="G42" t="s">
        <v>199</v>
      </c>
      <c r="P42" t="s">
        <v>31</v>
      </c>
      <c r="Q42">
        <v>38002446</v>
      </c>
      <c r="S42">
        <v>2446</v>
      </c>
      <c r="U42" s="1" t="s">
        <v>54</v>
      </c>
      <c r="W42" s="47" t="s">
        <v>231</v>
      </c>
      <c r="AA42" s="1"/>
    </row>
    <row r="43" spans="1:27" x14ac:dyDescent="0.25">
      <c r="A43" t="s">
        <v>51</v>
      </c>
      <c r="C43" t="s">
        <v>196</v>
      </c>
      <c r="D43" s="8">
        <v>31700</v>
      </c>
      <c r="E43" t="s">
        <v>198</v>
      </c>
      <c r="G43" t="s">
        <v>199</v>
      </c>
      <c r="P43" t="s">
        <v>117</v>
      </c>
      <c r="Q43">
        <v>38002447</v>
      </c>
      <c r="S43">
        <v>2447</v>
      </c>
      <c r="U43" s="1" t="s">
        <v>54</v>
      </c>
      <c r="W43" s="47" t="s">
        <v>201</v>
      </c>
      <c r="AA43" s="1"/>
    </row>
    <row r="44" spans="1:27" x14ac:dyDescent="0.25">
      <c r="A44" t="s">
        <v>51</v>
      </c>
      <c r="C44" t="s">
        <v>197</v>
      </c>
      <c r="D44" s="8">
        <v>31700</v>
      </c>
      <c r="E44" t="s">
        <v>198</v>
      </c>
      <c r="G44" t="s">
        <v>199</v>
      </c>
      <c r="P44" t="s">
        <v>117</v>
      </c>
      <c r="Q44">
        <v>38002448</v>
      </c>
      <c r="S44">
        <v>2448</v>
      </c>
      <c r="U44" s="1" t="s">
        <v>54</v>
      </c>
      <c r="W44" s="47" t="s">
        <v>229</v>
      </c>
      <c r="AA44" s="1"/>
    </row>
    <row r="45" spans="1:27" x14ac:dyDescent="0.25">
      <c r="A45" t="s">
        <v>51</v>
      </c>
      <c r="C45" t="s">
        <v>197</v>
      </c>
      <c r="D45" s="8">
        <v>31700</v>
      </c>
      <c r="E45" t="s">
        <v>198</v>
      </c>
      <c r="G45" t="s">
        <v>199</v>
      </c>
      <c r="P45" t="s">
        <v>31</v>
      </c>
      <c r="Q45">
        <v>38002449</v>
      </c>
      <c r="S45">
        <v>2449</v>
      </c>
      <c r="U45" s="1" t="s">
        <v>54</v>
      </c>
      <c r="W45" s="47" t="s">
        <v>201</v>
      </c>
      <c r="AA45" s="1"/>
    </row>
    <row r="46" spans="1:27" x14ac:dyDescent="0.25">
      <c r="A46" t="s">
        <v>51</v>
      </c>
      <c r="C46" t="s">
        <v>197</v>
      </c>
      <c r="D46" s="8">
        <v>31700</v>
      </c>
      <c r="E46" t="s">
        <v>198</v>
      </c>
      <c r="G46" t="s">
        <v>199</v>
      </c>
      <c r="P46" t="s">
        <v>116</v>
      </c>
      <c r="Q46">
        <v>38002450</v>
      </c>
      <c r="S46">
        <v>2450</v>
      </c>
      <c r="U46" s="1" t="s">
        <v>54</v>
      </c>
      <c r="W46" s="47" t="s">
        <v>230</v>
      </c>
      <c r="AA46" s="1"/>
    </row>
    <row r="47" spans="1:27" x14ac:dyDescent="0.25">
      <c r="A47" t="s">
        <v>51</v>
      </c>
      <c r="C47" t="s">
        <v>197</v>
      </c>
      <c r="D47" s="8">
        <v>31700</v>
      </c>
      <c r="E47" t="s">
        <v>198</v>
      </c>
      <c r="G47" t="s">
        <v>199</v>
      </c>
      <c r="P47" t="s">
        <v>117</v>
      </c>
      <c r="Q47">
        <v>38002451</v>
      </c>
      <c r="S47">
        <v>2451</v>
      </c>
      <c r="U47" s="1" t="s">
        <v>54</v>
      </c>
      <c r="W47" s="47" t="s">
        <v>201</v>
      </c>
      <c r="AA47" s="1"/>
    </row>
    <row r="48" spans="1:27" x14ac:dyDescent="0.25">
      <c r="A48" t="s">
        <v>51</v>
      </c>
      <c r="C48" t="s">
        <v>196</v>
      </c>
      <c r="D48" s="8">
        <v>31700</v>
      </c>
      <c r="E48" t="s">
        <v>198</v>
      </c>
      <c r="G48" t="s">
        <v>199</v>
      </c>
      <c r="P48" t="s">
        <v>117</v>
      </c>
      <c r="Q48">
        <v>38002452</v>
      </c>
      <c r="S48">
        <v>2452</v>
      </c>
      <c r="U48" s="1" t="s">
        <v>54</v>
      </c>
      <c r="W48" s="47" t="s">
        <v>240</v>
      </c>
      <c r="AA48" s="1"/>
    </row>
    <row r="49" spans="1:27" x14ac:dyDescent="0.25">
      <c r="A49" t="s">
        <v>51</v>
      </c>
      <c r="C49" t="s">
        <v>197</v>
      </c>
      <c r="D49" s="8">
        <v>31700</v>
      </c>
      <c r="E49" t="s">
        <v>198</v>
      </c>
      <c r="G49" t="s">
        <v>199</v>
      </c>
      <c r="P49" t="s">
        <v>31</v>
      </c>
      <c r="Q49">
        <v>38002453</v>
      </c>
      <c r="S49">
        <v>2453</v>
      </c>
      <c r="U49" s="1" t="s">
        <v>54</v>
      </c>
      <c r="W49" s="47" t="s">
        <v>232</v>
      </c>
      <c r="AA49" s="1"/>
    </row>
    <row r="50" spans="1:27" x14ac:dyDescent="0.25">
      <c r="A50" t="s">
        <v>51</v>
      </c>
      <c r="C50" t="s">
        <v>197</v>
      </c>
      <c r="D50" s="8">
        <v>31700</v>
      </c>
      <c r="E50" t="s">
        <v>198</v>
      </c>
      <c r="G50" t="s">
        <v>199</v>
      </c>
      <c r="P50" t="s">
        <v>117</v>
      </c>
      <c r="Q50">
        <v>38002454</v>
      </c>
      <c r="S50">
        <v>2454</v>
      </c>
      <c r="U50" s="1" t="s">
        <v>54</v>
      </c>
      <c r="W50" s="47" t="s">
        <v>201</v>
      </c>
      <c r="AA50" s="1"/>
    </row>
    <row r="51" spans="1:27" x14ac:dyDescent="0.25">
      <c r="A51" t="s">
        <v>51</v>
      </c>
      <c r="C51" t="s">
        <v>197</v>
      </c>
      <c r="D51" s="8">
        <v>31700</v>
      </c>
      <c r="E51" t="s">
        <v>198</v>
      </c>
      <c r="G51" t="s">
        <v>199</v>
      </c>
      <c r="P51" t="s">
        <v>31</v>
      </c>
      <c r="Q51">
        <v>38002456</v>
      </c>
      <c r="S51">
        <v>2456</v>
      </c>
      <c r="U51" s="1" t="s">
        <v>54</v>
      </c>
      <c r="W51" s="47" t="s">
        <v>201</v>
      </c>
      <c r="AA51" s="1"/>
    </row>
    <row r="52" spans="1:27" x14ac:dyDescent="0.25">
      <c r="A52" t="s">
        <v>51</v>
      </c>
      <c r="C52" t="s">
        <v>197</v>
      </c>
      <c r="D52" s="8">
        <v>31700</v>
      </c>
      <c r="E52" t="s">
        <v>198</v>
      </c>
      <c r="G52" t="s">
        <v>199</v>
      </c>
      <c r="P52" t="s">
        <v>117</v>
      </c>
      <c r="Q52">
        <v>38002462</v>
      </c>
      <c r="S52">
        <v>2462</v>
      </c>
      <c r="U52" s="1" t="s">
        <v>54</v>
      </c>
      <c r="W52" s="47" t="s">
        <v>227</v>
      </c>
      <c r="AA52" s="1"/>
    </row>
    <row r="53" spans="1:27" x14ac:dyDescent="0.25">
      <c r="A53" t="s">
        <v>51</v>
      </c>
      <c r="C53" t="s">
        <v>196</v>
      </c>
      <c r="D53" s="8">
        <v>31700</v>
      </c>
      <c r="E53" t="s">
        <v>198</v>
      </c>
      <c r="G53" t="s">
        <v>199</v>
      </c>
      <c r="P53" t="s">
        <v>31</v>
      </c>
      <c r="Q53">
        <v>38002463</v>
      </c>
      <c r="S53">
        <v>2463</v>
      </c>
      <c r="U53" s="1" t="s">
        <v>54</v>
      </c>
      <c r="W53" s="47" t="s">
        <v>201</v>
      </c>
      <c r="AA53" s="1"/>
    </row>
    <row r="54" spans="1:27" x14ac:dyDescent="0.25">
      <c r="A54" t="s">
        <v>51</v>
      </c>
      <c r="C54" t="s">
        <v>196</v>
      </c>
      <c r="D54" s="8">
        <v>31700</v>
      </c>
      <c r="E54" t="s">
        <v>198</v>
      </c>
      <c r="G54" t="s">
        <v>199</v>
      </c>
      <c r="P54" t="s">
        <v>31</v>
      </c>
      <c r="Q54">
        <v>38002464</v>
      </c>
      <c r="S54">
        <v>2464</v>
      </c>
      <c r="U54" s="1" t="s">
        <v>54</v>
      </c>
      <c r="W54" s="47" t="s">
        <v>233</v>
      </c>
      <c r="AA54" s="1"/>
    </row>
    <row r="55" spans="1:27" x14ac:dyDescent="0.25">
      <c r="A55" t="s">
        <v>51</v>
      </c>
      <c r="C55" t="s">
        <v>197</v>
      </c>
      <c r="D55" s="8">
        <v>31700</v>
      </c>
      <c r="E55" t="s">
        <v>198</v>
      </c>
      <c r="G55" t="s">
        <v>199</v>
      </c>
      <c r="P55" t="s">
        <v>117</v>
      </c>
      <c r="Q55">
        <v>38002465</v>
      </c>
      <c r="S55">
        <v>2465</v>
      </c>
      <c r="U55" s="1" t="s">
        <v>54</v>
      </c>
      <c r="W55" s="47" t="s">
        <v>201</v>
      </c>
      <c r="AA55" s="1"/>
    </row>
    <row r="56" spans="1:27" x14ac:dyDescent="0.25">
      <c r="A56" t="s">
        <v>51</v>
      </c>
      <c r="C56" t="s">
        <v>197</v>
      </c>
      <c r="D56" s="8">
        <v>31700</v>
      </c>
      <c r="E56" t="s">
        <v>198</v>
      </c>
      <c r="G56" t="s">
        <v>199</v>
      </c>
      <c r="P56" t="s">
        <v>117</v>
      </c>
      <c r="Q56">
        <v>38002468</v>
      </c>
      <c r="S56">
        <v>2468</v>
      </c>
      <c r="U56" s="1" t="s">
        <v>54</v>
      </c>
      <c r="W56" s="47" t="s">
        <v>228</v>
      </c>
      <c r="AA56" s="1"/>
    </row>
    <row r="57" spans="1:27" x14ac:dyDescent="0.25">
      <c r="A57" t="s">
        <v>51</v>
      </c>
      <c r="C57" t="s">
        <v>197</v>
      </c>
      <c r="D57" s="8">
        <v>31700</v>
      </c>
      <c r="E57" t="s">
        <v>198</v>
      </c>
      <c r="G57" t="s">
        <v>199</v>
      </c>
      <c r="P57" t="s">
        <v>117</v>
      </c>
      <c r="Q57">
        <v>38002469</v>
      </c>
      <c r="S57">
        <v>2469</v>
      </c>
      <c r="U57" s="1" t="s">
        <v>54</v>
      </c>
      <c r="W57" s="47" t="s">
        <v>201</v>
      </c>
      <c r="AA57" s="1"/>
    </row>
    <row r="58" spans="1:27" x14ac:dyDescent="0.25">
      <c r="A58" t="s">
        <v>51</v>
      </c>
      <c r="C58" t="s">
        <v>197</v>
      </c>
      <c r="D58" s="8">
        <v>31700</v>
      </c>
      <c r="E58" t="s">
        <v>198</v>
      </c>
      <c r="G58" t="s">
        <v>199</v>
      </c>
      <c r="P58" t="s">
        <v>31</v>
      </c>
      <c r="Q58">
        <v>38002470</v>
      </c>
      <c r="S58">
        <v>2470</v>
      </c>
      <c r="U58" s="1" t="s">
        <v>54</v>
      </c>
      <c r="W58" s="47" t="s">
        <v>224</v>
      </c>
      <c r="AA58" s="1"/>
    </row>
    <row r="59" spans="1:27" x14ac:dyDescent="0.25">
      <c r="A59" t="s">
        <v>51</v>
      </c>
      <c r="C59" t="s">
        <v>196</v>
      </c>
      <c r="D59" s="8">
        <v>31700</v>
      </c>
      <c r="E59" t="s">
        <v>198</v>
      </c>
      <c r="G59" t="s">
        <v>199</v>
      </c>
      <c r="P59" t="s">
        <v>31</v>
      </c>
      <c r="Q59">
        <v>38002471</v>
      </c>
      <c r="S59">
        <v>2471</v>
      </c>
      <c r="U59" s="1" t="s">
        <v>54</v>
      </c>
      <c r="W59" s="47" t="s">
        <v>241</v>
      </c>
      <c r="AA59" s="1"/>
    </row>
    <row r="60" spans="1:27" x14ac:dyDescent="0.25">
      <c r="A60" t="s">
        <v>51</v>
      </c>
      <c r="C60" t="s">
        <v>197</v>
      </c>
      <c r="D60" s="8">
        <v>31700</v>
      </c>
      <c r="E60" t="s">
        <v>198</v>
      </c>
      <c r="G60" t="s">
        <v>199</v>
      </c>
      <c r="P60" t="s">
        <v>117</v>
      </c>
      <c r="Q60">
        <v>38002473</v>
      </c>
      <c r="S60">
        <v>2473</v>
      </c>
      <c r="U60" s="1" t="s">
        <v>54</v>
      </c>
      <c r="W60" s="47" t="s">
        <v>201</v>
      </c>
      <c r="AA60" s="1"/>
    </row>
    <row r="61" spans="1:27" x14ac:dyDescent="0.25">
      <c r="A61" t="s">
        <v>51</v>
      </c>
      <c r="C61" t="s">
        <v>197</v>
      </c>
      <c r="D61" s="8">
        <v>31700</v>
      </c>
      <c r="E61" t="s">
        <v>198</v>
      </c>
      <c r="G61" t="s">
        <v>199</v>
      </c>
      <c r="P61" t="s">
        <v>117</v>
      </c>
      <c r="Q61">
        <v>38002476</v>
      </c>
      <c r="S61">
        <v>2476</v>
      </c>
      <c r="U61" s="1" t="s">
        <v>54</v>
      </c>
      <c r="W61" s="47" t="s">
        <v>225</v>
      </c>
      <c r="AA61" s="1"/>
    </row>
    <row r="62" spans="1:27" x14ac:dyDescent="0.25">
      <c r="A62" t="s">
        <v>51</v>
      </c>
      <c r="C62" t="s">
        <v>197</v>
      </c>
      <c r="D62" s="8">
        <v>31700</v>
      </c>
      <c r="E62" t="s">
        <v>198</v>
      </c>
      <c r="G62" t="s">
        <v>199</v>
      </c>
      <c r="P62" t="s">
        <v>31</v>
      </c>
      <c r="Q62">
        <v>38002477</v>
      </c>
      <c r="S62">
        <v>2477</v>
      </c>
      <c r="U62" s="1" t="s">
        <v>54</v>
      </c>
      <c r="W62" s="47" t="s">
        <v>201</v>
      </c>
      <c r="AA62" s="1"/>
    </row>
    <row r="63" spans="1:27" x14ac:dyDescent="0.25">
      <c r="A63" t="s">
        <v>51</v>
      </c>
      <c r="C63" t="s">
        <v>197</v>
      </c>
      <c r="D63" s="8">
        <v>31700</v>
      </c>
      <c r="E63" t="s">
        <v>198</v>
      </c>
      <c r="G63" t="s">
        <v>199</v>
      </c>
      <c r="P63" t="s">
        <v>31</v>
      </c>
      <c r="Q63">
        <v>38002478</v>
      </c>
      <c r="S63">
        <v>2478</v>
      </c>
      <c r="U63" s="1" t="s">
        <v>54</v>
      </c>
      <c r="W63" s="47" t="s">
        <v>226</v>
      </c>
      <c r="AA63" s="1"/>
    </row>
    <row r="64" spans="1:27" x14ac:dyDescent="0.25">
      <c r="AA64" s="1"/>
    </row>
    <row r="65" spans="27:27" x14ac:dyDescent="0.25">
      <c r="AA65" s="1"/>
    </row>
    <row r="66" spans="27:27" x14ac:dyDescent="0.25">
      <c r="AA66" s="1"/>
    </row>
    <row r="67" spans="27:27" x14ac:dyDescent="0.25">
      <c r="AA67" s="1"/>
    </row>
    <row r="68" spans="27:27" x14ac:dyDescent="0.25">
      <c r="AA68" s="1"/>
    </row>
    <row r="69" spans="27:27" x14ac:dyDescent="0.25">
      <c r="AA69" s="1"/>
    </row>
    <row r="70" spans="27:27" x14ac:dyDescent="0.25">
      <c r="AA70" s="1"/>
    </row>
    <row r="71" spans="27:27" x14ac:dyDescent="0.25">
      <c r="AA71" s="1"/>
    </row>
    <row r="72" spans="27:27" x14ac:dyDescent="0.25">
      <c r="AA72" s="1"/>
    </row>
    <row r="73" spans="27:27" x14ac:dyDescent="0.25">
      <c r="AA73" s="1"/>
    </row>
    <row r="74" spans="27:27" x14ac:dyDescent="0.25">
      <c r="AA74" s="1"/>
    </row>
    <row r="75" spans="27:27" x14ac:dyDescent="0.25">
      <c r="AA75" s="1"/>
    </row>
    <row r="76" spans="27:27" x14ac:dyDescent="0.25">
      <c r="AA76" s="1"/>
    </row>
    <row r="77" spans="27:27" x14ac:dyDescent="0.25">
      <c r="AA77" s="1"/>
    </row>
    <row r="78" spans="27:27" x14ac:dyDescent="0.25">
      <c r="AA78" s="1"/>
    </row>
    <row r="79" spans="27:27" x14ac:dyDescent="0.25">
      <c r="AA79" s="1"/>
    </row>
    <row r="80" spans="27:27" x14ac:dyDescent="0.25">
      <c r="AA80" s="1"/>
    </row>
    <row r="81" spans="27:27" x14ac:dyDescent="0.25">
      <c r="AA81" s="1"/>
    </row>
    <row r="82" spans="27:27" x14ac:dyDescent="0.25">
      <c r="AA82" s="1"/>
    </row>
    <row r="83" spans="27:27" x14ac:dyDescent="0.25">
      <c r="AA83" s="1"/>
    </row>
    <row r="84" spans="27:27" x14ac:dyDescent="0.25">
      <c r="AA84" s="1"/>
    </row>
    <row r="85" spans="27:27" x14ac:dyDescent="0.25">
      <c r="AA85" s="1"/>
    </row>
    <row r="86" spans="27:27" x14ac:dyDescent="0.25">
      <c r="AA86" s="1"/>
    </row>
    <row r="87" spans="27:27" x14ac:dyDescent="0.25">
      <c r="AA87" s="1"/>
    </row>
    <row r="88" spans="27:27" x14ac:dyDescent="0.25">
      <c r="AA88" s="1"/>
    </row>
    <row r="89" spans="27:27" x14ac:dyDescent="0.25">
      <c r="AA89" s="1"/>
    </row>
    <row r="90" spans="27:27" x14ac:dyDescent="0.25">
      <c r="AA90" s="1"/>
    </row>
    <row r="91" spans="27:27" x14ac:dyDescent="0.25">
      <c r="AA91" s="1"/>
    </row>
    <row r="92" spans="27:27" x14ac:dyDescent="0.25">
      <c r="AA92" s="1"/>
    </row>
    <row r="93" spans="27:27" x14ac:dyDescent="0.25">
      <c r="AA93" s="1"/>
    </row>
    <row r="94" spans="27:27" x14ac:dyDescent="0.25">
      <c r="AA94" s="1"/>
    </row>
    <row r="95" spans="27:27" x14ac:dyDescent="0.25">
      <c r="AA95" s="1"/>
    </row>
    <row r="96" spans="27:27" x14ac:dyDescent="0.25">
      <c r="AA96" s="1"/>
    </row>
    <row r="97" spans="27:27" x14ac:dyDescent="0.25">
      <c r="AA97" s="1"/>
    </row>
    <row r="98" spans="27:27" x14ac:dyDescent="0.25">
      <c r="AA98" s="1"/>
    </row>
    <row r="99" spans="27:27" x14ac:dyDescent="0.25">
      <c r="AA99" s="1"/>
    </row>
    <row r="100" spans="27:27" x14ac:dyDescent="0.25">
      <c r="AA100" s="1"/>
    </row>
    <row r="101" spans="27:27" x14ac:dyDescent="0.25">
      <c r="AA101" s="1"/>
    </row>
    <row r="102" spans="27:27" x14ac:dyDescent="0.25">
      <c r="AA102" s="1"/>
    </row>
    <row r="103" spans="27:27" x14ac:dyDescent="0.25">
      <c r="AA103" s="1"/>
    </row>
    <row r="104" spans="27:27" x14ac:dyDescent="0.25">
      <c r="AA104" s="1"/>
    </row>
    <row r="105" spans="27:27" x14ac:dyDescent="0.25">
      <c r="AA105" s="1"/>
    </row>
    <row r="106" spans="27:27" x14ac:dyDescent="0.25">
      <c r="AA106" s="1"/>
    </row>
    <row r="107" spans="27:27" x14ac:dyDescent="0.25">
      <c r="AA107" s="1"/>
    </row>
    <row r="108" spans="27:27" x14ac:dyDescent="0.25">
      <c r="AA108" s="1"/>
    </row>
    <row r="109" spans="27:27" x14ac:dyDescent="0.25">
      <c r="AA109" s="1"/>
    </row>
    <row r="110" spans="27:27" x14ac:dyDescent="0.25">
      <c r="AA110" s="1"/>
    </row>
    <row r="111" spans="27:27" x14ac:dyDescent="0.25">
      <c r="AA111" s="1"/>
    </row>
    <row r="112" spans="27:27" x14ac:dyDescent="0.25">
      <c r="AA112" s="1"/>
    </row>
    <row r="113" spans="27:27" x14ac:dyDescent="0.25">
      <c r="AA113" s="1"/>
    </row>
    <row r="114" spans="27:27" x14ac:dyDescent="0.25">
      <c r="AA114" s="1"/>
    </row>
    <row r="115" spans="27:27" x14ac:dyDescent="0.25">
      <c r="AA115" s="1"/>
    </row>
    <row r="116" spans="27:27" x14ac:dyDescent="0.25">
      <c r="AA116" s="1"/>
    </row>
    <row r="117" spans="27:27" x14ac:dyDescent="0.25">
      <c r="AA117" s="1"/>
    </row>
    <row r="118" spans="27:27" x14ac:dyDescent="0.25">
      <c r="AA118" s="1"/>
    </row>
    <row r="119" spans="27:27" x14ac:dyDescent="0.25">
      <c r="AA119" s="1"/>
    </row>
    <row r="120" spans="27:27" x14ac:dyDescent="0.25">
      <c r="AA120" s="1"/>
    </row>
    <row r="121" spans="27:27" x14ac:dyDescent="0.25">
      <c r="AA121" s="1"/>
    </row>
    <row r="122" spans="27:27" x14ac:dyDescent="0.25">
      <c r="AA122" s="1"/>
    </row>
    <row r="123" spans="27:27" x14ac:dyDescent="0.25">
      <c r="AA123" s="1"/>
    </row>
    <row r="124" spans="27:27" x14ac:dyDescent="0.25">
      <c r="AA124" s="1"/>
    </row>
    <row r="125" spans="27:27" x14ac:dyDescent="0.25">
      <c r="AA125" s="1"/>
    </row>
    <row r="126" spans="27:27" x14ac:dyDescent="0.25">
      <c r="AA126" s="1"/>
    </row>
    <row r="127" spans="27:27" x14ac:dyDescent="0.25">
      <c r="AA127" s="1"/>
    </row>
    <row r="128" spans="27:27" x14ac:dyDescent="0.25">
      <c r="AA128" s="1"/>
    </row>
    <row r="129" spans="27:27" x14ac:dyDescent="0.25">
      <c r="AA129" s="1"/>
    </row>
    <row r="130" spans="27:27" x14ac:dyDescent="0.25">
      <c r="AA130" s="1"/>
    </row>
    <row r="131" spans="27:27" x14ac:dyDescent="0.25">
      <c r="AA131" s="1"/>
    </row>
    <row r="132" spans="27:27" x14ac:dyDescent="0.25">
      <c r="AA132" s="1"/>
    </row>
    <row r="133" spans="27:27" x14ac:dyDescent="0.25">
      <c r="AA133" s="1"/>
    </row>
    <row r="134" spans="27:27" x14ac:dyDescent="0.25">
      <c r="AA134" s="1"/>
    </row>
    <row r="135" spans="27:27" x14ac:dyDescent="0.25">
      <c r="AA135" s="1"/>
    </row>
    <row r="136" spans="27:27" x14ac:dyDescent="0.25">
      <c r="AA136" s="1"/>
    </row>
    <row r="137" spans="27:27" x14ac:dyDescent="0.25">
      <c r="AA137" s="1"/>
    </row>
    <row r="138" spans="27:27" x14ac:dyDescent="0.25">
      <c r="AA138" s="1"/>
    </row>
    <row r="139" spans="27:27" x14ac:dyDescent="0.25">
      <c r="AA139" s="1"/>
    </row>
    <row r="140" spans="27:27" x14ac:dyDescent="0.25">
      <c r="AA140" s="1"/>
    </row>
    <row r="141" spans="27:27" x14ac:dyDescent="0.25">
      <c r="AA141" s="1"/>
    </row>
    <row r="142" spans="27:27" x14ac:dyDescent="0.25">
      <c r="AA142" s="1"/>
    </row>
    <row r="143" spans="27:27" x14ac:dyDescent="0.25">
      <c r="AA143" s="1"/>
    </row>
    <row r="144" spans="27:27" x14ac:dyDescent="0.25">
      <c r="AA144" s="1"/>
    </row>
    <row r="145" spans="27:27" x14ac:dyDescent="0.25">
      <c r="AA145" s="1"/>
    </row>
    <row r="146" spans="27:27" x14ac:dyDescent="0.25">
      <c r="AA146" s="1"/>
    </row>
    <row r="147" spans="27:27" x14ac:dyDescent="0.25">
      <c r="AA147" s="1"/>
    </row>
    <row r="148" spans="27:27" x14ac:dyDescent="0.25">
      <c r="AA148" s="1"/>
    </row>
    <row r="149" spans="27:27" x14ac:dyDescent="0.25">
      <c r="AA149" s="1"/>
    </row>
    <row r="150" spans="27:27" x14ac:dyDescent="0.25">
      <c r="AA150" s="1"/>
    </row>
    <row r="151" spans="27:27" x14ac:dyDescent="0.25">
      <c r="AA151" s="1"/>
    </row>
    <row r="152" spans="27:27" x14ac:dyDescent="0.25">
      <c r="AA152" s="1"/>
    </row>
    <row r="153" spans="27:27" x14ac:dyDescent="0.25">
      <c r="AA153" s="1"/>
    </row>
    <row r="154" spans="27:27" x14ac:dyDescent="0.25">
      <c r="AA154" s="1"/>
    </row>
    <row r="155" spans="27:27" x14ac:dyDescent="0.25">
      <c r="AA155" s="1"/>
    </row>
    <row r="156" spans="27:27" x14ac:dyDescent="0.25">
      <c r="AA156" s="1"/>
    </row>
    <row r="157" spans="27:27" x14ac:dyDescent="0.25">
      <c r="AA157" s="1"/>
    </row>
    <row r="158" spans="27:27" x14ac:dyDescent="0.25">
      <c r="AA158" s="1"/>
    </row>
    <row r="159" spans="27:27" x14ac:dyDescent="0.25">
      <c r="AA159" s="1"/>
    </row>
    <row r="160" spans="27:27" x14ac:dyDescent="0.25">
      <c r="AA160" s="1"/>
    </row>
    <row r="161" spans="27:27" x14ac:dyDescent="0.25">
      <c r="AA161" s="1"/>
    </row>
    <row r="162" spans="27:27" x14ac:dyDescent="0.25">
      <c r="AA162" s="1"/>
    </row>
    <row r="163" spans="27:27" x14ac:dyDescent="0.25">
      <c r="AA163" s="1"/>
    </row>
    <row r="164" spans="27:27" x14ac:dyDescent="0.25">
      <c r="AA164" s="1"/>
    </row>
    <row r="165" spans="27:27" x14ac:dyDescent="0.25">
      <c r="AA165" s="1"/>
    </row>
    <row r="166" spans="27:27" x14ac:dyDescent="0.25">
      <c r="AA166" s="1"/>
    </row>
    <row r="167" spans="27:27" x14ac:dyDescent="0.25">
      <c r="AA167" s="1"/>
    </row>
    <row r="168" spans="27:27" x14ac:dyDescent="0.25">
      <c r="AA168" s="1"/>
    </row>
    <row r="169" spans="27:27" x14ac:dyDescent="0.25">
      <c r="AA169" s="1"/>
    </row>
    <row r="170" spans="27:27" x14ac:dyDescent="0.25">
      <c r="AA170" s="1"/>
    </row>
    <row r="171" spans="27:27" x14ac:dyDescent="0.25">
      <c r="AA171" s="1"/>
    </row>
    <row r="172" spans="27:27" x14ac:dyDescent="0.25">
      <c r="AA172" s="1"/>
    </row>
    <row r="173" spans="27:27" x14ac:dyDescent="0.25">
      <c r="AA173" s="1"/>
    </row>
    <row r="174" spans="27:27" x14ac:dyDescent="0.25">
      <c r="AA174" s="1"/>
    </row>
    <row r="175" spans="27:27" x14ac:dyDescent="0.25">
      <c r="AA175" s="1"/>
    </row>
    <row r="176" spans="27:27" x14ac:dyDescent="0.25">
      <c r="AA176" s="1"/>
    </row>
    <row r="177" spans="27:27" x14ac:dyDescent="0.25">
      <c r="AA177" s="1"/>
    </row>
    <row r="178" spans="27:27" x14ac:dyDescent="0.25">
      <c r="AA178" s="1"/>
    </row>
    <row r="179" spans="27:27" x14ac:dyDescent="0.25">
      <c r="AA179" s="1"/>
    </row>
    <row r="180" spans="27:27" x14ac:dyDescent="0.25">
      <c r="AA180" s="1"/>
    </row>
    <row r="181" spans="27:27" x14ac:dyDescent="0.25">
      <c r="AA181" s="1"/>
    </row>
    <row r="182" spans="27:27" x14ac:dyDescent="0.25">
      <c r="AA182" s="1"/>
    </row>
    <row r="183" spans="27:27" x14ac:dyDescent="0.25">
      <c r="AA183" s="1"/>
    </row>
    <row r="184" spans="27:27" x14ac:dyDescent="0.25">
      <c r="AA184" s="1"/>
    </row>
    <row r="185" spans="27:27" x14ac:dyDescent="0.25">
      <c r="AA185" s="1"/>
    </row>
    <row r="186" spans="27:27" x14ac:dyDescent="0.25">
      <c r="AA186" s="1"/>
    </row>
    <row r="187" spans="27:27" x14ac:dyDescent="0.25">
      <c r="AA187" s="1"/>
    </row>
    <row r="188" spans="27:27" x14ac:dyDescent="0.25">
      <c r="AA188" s="1"/>
    </row>
    <row r="189" spans="27:27" x14ac:dyDescent="0.25">
      <c r="AA189" s="1"/>
    </row>
    <row r="190" spans="27:27" x14ac:dyDescent="0.25">
      <c r="AA190" s="1"/>
    </row>
    <row r="191" spans="27:27" x14ac:dyDescent="0.25">
      <c r="AA191" s="1"/>
    </row>
    <row r="192" spans="27:27" x14ac:dyDescent="0.25">
      <c r="AA192" s="1"/>
    </row>
    <row r="193" spans="27:27" x14ac:dyDescent="0.25">
      <c r="AA193" s="1"/>
    </row>
    <row r="194" spans="27:27" x14ac:dyDescent="0.25">
      <c r="AA194" s="1"/>
    </row>
    <row r="195" spans="27:27" x14ac:dyDescent="0.25">
      <c r="AA195" s="1"/>
    </row>
    <row r="196" spans="27:27" x14ac:dyDescent="0.25">
      <c r="AA196" s="1"/>
    </row>
    <row r="197" spans="27:27" x14ac:dyDescent="0.25">
      <c r="AA197" s="1"/>
    </row>
    <row r="198" spans="27:27" x14ac:dyDescent="0.25">
      <c r="AA198" s="1"/>
    </row>
    <row r="199" spans="27:27" x14ac:dyDescent="0.25">
      <c r="AA199" s="1"/>
    </row>
    <row r="200" spans="27:27" x14ac:dyDescent="0.25">
      <c r="AA200" s="1"/>
    </row>
    <row r="201" spans="27:27" x14ac:dyDescent="0.25">
      <c r="AA201" s="1"/>
    </row>
  </sheetData>
  <autoFilter ref="A1:AH115"/>
  <dataConsolidate/>
  <phoneticPr fontId="7" type="noConversion"/>
  <dataValidations count="5">
    <dataValidation type="custom" allowBlank="1" showInputMessage="1" showErrorMessage="1" sqref="AB16:AB1048576">
      <formula1>"SI(ET(AA2:AA255&lt;&gt;"""";ESTEMAIL(AA2:AA255)"</formula1>
    </dataValidation>
    <dataValidation type="textLength" allowBlank="1" showInputMessage="1" showErrorMessage="1" sqref="AA2:AA1048576">
      <formula1>9</formula1>
      <formula2>10</formula2>
    </dataValidation>
    <dataValidation showInputMessage="1" showErrorMessage="1" sqref="N1:N1048576"/>
    <dataValidation type="textLength" operator="equal" allowBlank="1" showInputMessage="1" showErrorMessage="1" sqref="D2:D1048576">
      <formula1>5</formula1>
    </dataValidation>
    <dataValidation type="custom" allowBlank="1" showInputMessage="1" showErrorMessage="1" sqref="AB2:AB15">
      <formula1>OR(SEARCH("@",AB2),ISBLANK(AB2))</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14:formula1>
            <xm:f>Références!$A$2:$A$21</xm:f>
          </x14:formula1>
          <xm:sqref>A2:A1048576</xm:sqref>
        </x14:dataValidation>
        <x14:dataValidation type="list" allowBlank="1" showInputMessage="1" showErrorMessage="1">
          <x14:formula1>
            <xm:f>Références!$C$2:$C$4</xm:f>
          </x14:formula1>
          <xm:sqref>M2:M1048576</xm:sqref>
        </x14:dataValidation>
        <x14:dataValidation type="list" allowBlank="1" showInputMessage="1" showErrorMessage="1">
          <x14:formula1>
            <xm:f>Références!$E$2:$E$16</xm:f>
          </x14:formula1>
          <xm:sqref>O2:O1048576 AH2:AH1048576 U2:U1048576</xm:sqref>
        </x14:dataValidation>
        <x14:dataValidation type="list" allowBlank="1" showInputMessage="1" showErrorMessage="1">
          <x14:formula1>
            <xm:f>Références!$K$2:$K$17</xm:f>
          </x14:formula1>
          <xm:sqref>P2:P1048576</xm:sqref>
        </x14:dataValidation>
        <x14:dataValidation type="list" allowBlank="1" showInputMessage="1" showErrorMessage="1">
          <x14:formula1>
            <xm:f>Références!$C$8:$C$9</xm:f>
          </x14:formula1>
          <xm:sqref>X2:X13 X15:X1048576</xm:sqref>
        </x14:dataValidation>
        <x14:dataValidation type="list" allowBlank="1" showInputMessage="1" showErrorMessage="1">
          <x14:formula1>
            <xm:f>Références!$M$2:$M$39</xm:f>
          </x14:formula1>
          <xm:sqref>AC2:AC1048576</xm:sqref>
        </x14:dataValidation>
        <x14:dataValidation type="list" allowBlank="1" showInputMessage="1" showErrorMessage="1">
          <x14:formula1>
            <xm:f>Références!$C$2:$C$3</xm:f>
          </x14:formula1>
          <xm:sqref>AG2:AG1048576</xm:sqref>
        </x14:dataValidation>
        <x14:dataValidation type="date" allowBlank="1" showInputMessage="1" showErrorMessage="1">
          <x14:formula1>
            <xm:f>Références!I242</xm:f>
          </x14:formula1>
          <x14:formula2>
            <xm:f>Références!I243</xm:f>
          </x14:formula2>
          <xm:sqref>K2:L22</xm:sqref>
        </x14:dataValidation>
        <x14:dataValidation type="date" allowBlank="1" showInputMessage="1" showErrorMessage="1">
          <x14:formula1>
            <xm:f>Références!I242</xm:f>
          </x14:formula1>
          <x14:formula2>
            <xm:f>Références!I243</xm:f>
          </x14:formula2>
          <xm:sqref>V2:V22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42"/>
  <sheetViews>
    <sheetView topLeftCell="A28" workbookViewId="0">
      <selection activeCell="B5" sqref="B5"/>
    </sheetView>
  </sheetViews>
  <sheetFormatPr baseColWidth="10" defaultRowHeight="15" x14ac:dyDescent="0.25"/>
  <cols>
    <col min="1" max="1" width="7" customWidth="1"/>
    <col min="2" max="2" width="38.28515625" bestFit="1" customWidth="1"/>
    <col min="3" max="3" width="26.7109375" style="2" customWidth="1"/>
    <col min="4" max="4" width="60.28515625" customWidth="1"/>
    <col min="5" max="5" width="31.28515625" customWidth="1"/>
  </cols>
  <sheetData>
    <row r="1" spans="1:4" ht="10.5" customHeight="1" x14ac:dyDescent="0.25">
      <c r="B1" s="51" t="s">
        <v>0</v>
      </c>
      <c r="C1" s="53" t="s">
        <v>1</v>
      </c>
      <c r="D1" s="55" t="s">
        <v>170</v>
      </c>
    </row>
    <row r="2" spans="1:4" ht="11.25" customHeight="1" thickBot="1" x14ac:dyDescent="0.3">
      <c r="B2" s="52"/>
      <c r="C2" s="54"/>
      <c r="D2" s="55"/>
    </row>
    <row r="3" spans="1:4" ht="15.75" customHeight="1" thickTop="1" x14ac:dyDescent="0.25">
      <c r="A3" s="56" t="s">
        <v>177</v>
      </c>
      <c r="B3" s="20" t="str">
        <f>'Listing vierge'!A1</f>
        <v>Bien / Type de bien</v>
      </c>
      <c r="C3" s="12" t="s">
        <v>3</v>
      </c>
      <c r="D3" t="s">
        <v>32</v>
      </c>
    </row>
    <row r="4" spans="1:4" x14ac:dyDescent="0.25">
      <c r="A4" s="57"/>
      <c r="B4" s="21" t="str">
        <f>'Listing vierge'!B1</f>
        <v>Bien / Référence patrimoine</v>
      </c>
      <c r="C4" s="12" t="s">
        <v>2</v>
      </c>
    </row>
    <row r="5" spans="1:4" x14ac:dyDescent="0.25">
      <c r="A5" s="57"/>
      <c r="B5" s="22" t="str">
        <f>'Listing vierge'!C1</f>
        <v>Adresse / Adresse</v>
      </c>
      <c r="C5" s="12" t="s">
        <v>4</v>
      </c>
    </row>
    <row r="6" spans="1:4" x14ac:dyDescent="0.25">
      <c r="A6" s="57"/>
      <c r="B6" s="22" t="str">
        <f>'Listing vierge'!D1</f>
        <v>Adresse / Code postale</v>
      </c>
      <c r="C6" s="12">
        <v>77310</v>
      </c>
      <c r="D6" t="s">
        <v>38</v>
      </c>
    </row>
    <row r="7" spans="1:4" x14ac:dyDescent="0.25">
      <c r="A7" s="57"/>
      <c r="B7" s="22" t="str">
        <f>'Listing vierge'!E1</f>
        <v>Adresse / Ville</v>
      </c>
      <c r="C7" s="12" t="s">
        <v>5</v>
      </c>
    </row>
    <row r="8" spans="1:4" x14ac:dyDescent="0.25">
      <c r="A8" s="57"/>
      <c r="B8" s="23" t="str">
        <f>'Listing vierge'!F1</f>
        <v>Adresse / Complément</v>
      </c>
      <c r="C8" s="12" t="s">
        <v>6</v>
      </c>
    </row>
    <row r="9" spans="1:4" x14ac:dyDescent="0.25">
      <c r="A9" s="57"/>
      <c r="B9" s="20" t="str">
        <f>'Listing vierge'!G1</f>
        <v>Bâtiment / Nom</v>
      </c>
      <c r="C9" s="12" t="s">
        <v>7</v>
      </c>
      <c r="D9" t="s">
        <v>171</v>
      </c>
    </row>
    <row r="10" spans="1:4" x14ac:dyDescent="0.25">
      <c r="A10" s="57"/>
      <c r="B10" s="21" t="str">
        <f>'Listing vierge'!H1</f>
        <v>Bâtiment / Référence patrimoine</v>
      </c>
      <c r="C10" s="12" t="s">
        <v>8</v>
      </c>
    </row>
    <row r="11" spans="1:4" x14ac:dyDescent="0.25">
      <c r="A11" s="57"/>
      <c r="B11" s="21" t="str">
        <f>'Listing vierge'!I1</f>
        <v>Bâtiment / Nb étage</v>
      </c>
      <c r="C11" s="12" t="s">
        <v>9</v>
      </c>
    </row>
    <row r="12" spans="1:4" x14ac:dyDescent="0.25">
      <c r="A12" s="57"/>
      <c r="B12" s="21" t="str">
        <f>'Listing vierge'!J1</f>
        <v>Bâtiment / Références cadastrales</v>
      </c>
      <c r="C12" s="12" t="s">
        <v>10</v>
      </c>
    </row>
    <row r="13" spans="1:4" x14ac:dyDescent="0.25">
      <c r="A13" s="57"/>
      <c r="B13" s="21" t="str">
        <f>'Listing vierge'!K1</f>
        <v>Bâtiment / Date de permis de construire</v>
      </c>
      <c r="C13" s="12" t="s">
        <v>11</v>
      </c>
      <c r="D13" t="s">
        <v>39</v>
      </c>
    </row>
    <row r="14" spans="1:4" x14ac:dyDescent="0.25">
      <c r="A14" s="57"/>
      <c r="B14" s="21" t="str">
        <f>'Listing vierge'!L1</f>
        <v>Bâtiment / Date de construction</v>
      </c>
      <c r="C14" s="12" t="s">
        <v>12</v>
      </c>
      <c r="D14" t="s">
        <v>39</v>
      </c>
    </row>
    <row r="15" spans="1:4" x14ac:dyDescent="0.25">
      <c r="A15" s="57"/>
      <c r="B15" s="21" t="str">
        <f>'Listing vierge'!M1</f>
        <v>Bâtiment / Est une copropriété</v>
      </c>
      <c r="C15" s="12" t="s">
        <v>13</v>
      </c>
      <c r="D15" t="s">
        <v>37</v>
      </c>
    </row>
    <row r="16" spans="1:4" x14ac:dyDescent="0.25">
      <c r="A16" s="57"/>
      <c r="B16" s="21" t="str">
        <f>'Listing vierge'!N1</f>
        <v>Bâtiment / Etat</v>
      </c>
      <c r="C16" s="12" t="s">
        <v>14</v>
      </c>
    </row>
    <row r="17" spans="1:4" x14ac:dyDescent="0.25">
      <c r="A17" s="57"/>
      <c r="B17" s="21" t="str">
        <f>'Listing vierge'!O1</f>
        <v>Bâtiment / Type de chauffage</v>
      </c>
      <c r="C17" s="12" t="s">
        <v>15</v>
      </c>
      <c r="D17" t="s">
        <v>40</v>
      </c>
    </row>
    <row r="18" spans="1:4" x14ac:dyDescent="0.25">
      <c r="A18" s="57"/>
      <c r="B18" s="20" t="str">
        <f>'Listing vierge'!P1</f>
        <v>Logement / Type</v>
      </c>
      <c r="C18" s="12" t="s">
        <v>31</v>
      </c>
      <c r="D18" t="s">
        <v>33</v>
      </c>
    </row>
    <row r="19" spans="1:4" x14ac:dyDescent="0.25">
      <c r="A19" s="57"/>
      <c r="B19" s="21" t="str">
        <f>'Listing vierge'!Q1</f>
        <v>Logement / Référence patrimoine</v>
      </c>
      <c r="C19" s="12" t="s">
        <v>16</v>
      </c>
    </row>
    <row r="20" spans="1:4" x14ac:dyDescent="0.25">
      <c r="A20" s="57"/>
      <c r="B20" s="21" t="str">
        <f>'Listing vierge'!R1</f>
        <v xml:space="preserve"> Logement / Etage</v>
      </c>
      <c r="C20" s="12" t="s">
        <v>17</v>
      </c>
    </row>
    <row r="21" spans="1:4" x14ac:dyDescent="0.25">
      <c r="A21" s="57"/>
      <c r="B21" s="21" t="str">
        <f>'Listing vierge'!S1</f>
        <v xml:space="preserve"> Logement / Numéro</v>
      </c>
      <c r="C21" s="12" t="s">
        <v>18</v>
      </c>
    </row>
    <row r="22" spans="1:4" x14ac:dyDescent="0.25">
      <c r="A22" s="57"/>
      <c r="B22" s="21" t="str">
        <f>'Listing vierge'!T1</f>
        <v>Logement / Superficie</v>
      </c>
      <c r="C22" s="12" t="s">
        <v>19</v>
      </c>
    </row>
    <row r="23" spans="1:4" x14ac:dyDescent="0.25">
      <c r="A23" s="57"/>
      <c r="B23" s="20" t="str">
        <f>'Listing vierge'!U1</f>
        <v xml:space="preserve"> Logement / Type de chauffage</v>
      </c>
      <c r="C23" s="12" t="s">
        <v>15</v>
      </c>
      <c r="D23" t="s">
        <v>40</v>
      </c>
    </row>
    <row r="24" spans="1:4" ht="15.75" thickBot="1" x14ac:dyDescent="0.3">
      <c r="A24" s="57"/>
      <c r="B24" s="24" t="str">
        <f>'Listing vierge'!V1</f>
        <v xml:space="preserve"> Logement / Date de libération du logement</v>
      </c>
      <c r="C24" s="18" t="s">
        <v>175</v>
      </c>
    </row>
    <row r="25" spans="1:4" ht="16.5" thickTop="1" thickBot="1" x14ac:dyDescent="0.3">
      <c r="A25" s="58"/>
      <c r="B25" s="29" t="s">
        <v>182</v>
      </c>
      <c r="C25" s="28"/>
    </row>
    <row r="26" spans="1:4" ht="15.75" thickTop="1" x14ac:dyDescent="0.25">
      <c r="A26" s="48" t="s">
        <v>180</v>
      </c>
      <c r="B26" s="31" t="str">
        <f>'Listing vierge'!X1</f>
        <v>Contact sur place / Civilité</v>
      </c>
      <c r="C26" s="19" t="s">
        <v>20</v>
      </c>
      <c r="D26" t="s">
        <v>36</v>
      </c>
    </row>
    <row r="27" spans="1:4" x14ac:dyDescent="0.25">
      <c r="A27" s="49"/>
      <c r="B27" s="32" t="str">
        <f>'Listing vierge'!Y1</f>
        <v>Contact sur place / Nom</v>
      </c>
      <c r="C27" s="12" t="s">
        <v>21</v>
      </c>
      <c r="D27" s="4"/>
    </row>
    <row r="28" spans="1:4" x14ac:dyDescent="0.25">
      <c r="A28" s="49"/>
      <c r="B28" s="26" t="str">
        <f>'Listing vierge'!Z1</f>
        <v>Contact sur place / Prénom</v>
      </c>
      <c r="C28" s="12" t="s">
        <v>22</v>
      </c>
      <c r="D28" s="4"/>
    </row>
    <row r="29" spans="1:4" x14ac:dyDescent="0.25">
      <c r="A29" s="49"/>
      <c r="B29" s="32" t="str">
        <f>'Listing vierge'!AA1</f>
        <v>Contact sur place / Téléphone</v>
      </c>
      <c r="C29" s="13" t="s">
        <v>23</v>
      </c>
      <c r="D29" s="5" t="s">
        <v>176</v>
      </c>
    </row>
    <row r="30" spans="1:4" ht="15.75" thickBot="1" x14ac:dyDescent="0.3">
      <c r="A30" s="49"/>
      <c r="B30" s="27" t="str">
        <f>'Listing vierge'!AB1</f>
        <v>Contact sur place / Mail</v>
      </c>
      <c r="C30" s="18" t="s">
        <v>24</v>
      </c>
      <c r="D30" s="5" t="s">
        <v>187</v>
      </c>
    </row>
    <row r="31" spans="1:4" ht="16.5" thickTop="1" thickBot="1" x14ac:dyDescent="0.3">
      <c r="A31" s="59"/>
      <c r="B31" s="30" t="s">
        <v>183</v>
      </c>
      <c r="C31" s="28"/>
      <c r="D31" s="25"/>
    </row>
    <row r="32" spans="1:4" ht="15.75" thickTop="1" x14ac:dyDescent="0.25">
      <c r="A32" s="48" t="s">
        <v>181</v>
      </c>
      <c r="B32" s="33" t="str">
        <f>'Listing vierge'!AC1</f>
        <v>Annexe / Type d'Annexe</v>
      </c>
      <c r="C32" s="19" t="s">
        <v>29</v>
      </c>
      <c r="D32" t="s">
        <v>34</v>
      </c>
    </row>
    <row r="33" spans="1:4" x14ac:dyDescent="0.25">
      <c r="A33" s="49"/>
      <c r="B33" s="21" t="str">
        <f>'Listing vierge'!AD1</f>
        <v>Annexe / Référence patrimoine</v>
      </c>
      <c r="C33" s="12" t="s">
        <v>25</v>
      </c>
    </row>
    <row r="34" spans="1:4" x14ac:dyDescent="0.25">
      <c r="A34" s="49"/>
      <c r="B34" s="21" t="str">
        <f>'Listing vierge'!AE1</f>
        <v>Annexe / Étage</v>
      </c>
      <c r="C34" s="12" t="s">
        <v>26</v>
      </c>
    </row>
    <row r="35" spans="1:4" x14ac:dyDescent="0.25">
      <c r="A35" s="49"/>
      <c r="B35" s="21" t="str">
        <f>'Listing vierge'!AF1</f>
        <v>Annexe / Superficie</v>
      </c>
      <c r="C35" s="12" t="s">
        <v>27</v>
      </c>
      <c r="D35" s="2"/>
    </row>
    <row r="36" spans="1:4" x14ac:dyDescent="0.25">
      <c r="A36" s="49"/>
      <c r="B36" s="21" t="str">
        <f>'Listing vierge'!AG1</f>
        <v>Annexe / Est une partie commune</v>
      </c>
      <c r="C36" s="12" t="s">
        <v>28</v>
      </c>
      <c r="D36" t="s">
        <v>35</v>
      </c>
    </row>
    <row r="37" spans="1:4" ht="15.75" thickBot="1" x14ac:dyDescent="0.3">
      <c r="A37" s="50"/>
      <c r="B37" s="21" t="str">
        <f>'Listing vierge'!AH1</f>
        <v>Annexe / Type de chauffage</v>
      </c>
      <c r="C37" s="12" t="s">
        <v>30</v>
      </c>
      <c r="D37" t="s">
        <v>40</v>
      </c>
    </row>
    <row r="38" spans="1:4" ht="15.75" thickTop="1" x14ac:dyDescent="0.25"/>
    <row r="39" spans="1:4" x14ac:dyDescent="0.25">
      <c r="B39" t="s">
        <v>174</v>
      </c>
      <c r="C39" s="2" t="s">
        <v>178</v>
      </c>
    </row>
    <row r="40" spans="1:4" x14ac:dyDescent="0.25">
      <c r="A40" s="11"/>
      <c r="B40" t="s">
        <v>172</v>
      </c>
      <c r="C40" s="2" t="s">
        <v>186</v>
      </c>
    </row>
    <row r="41" spans="1:4" x14ac:dyDescent="0.25">
      <c r="A41" s="10"/>
      <c r="B41" t="s">
        <v>173</v>
      </c>
      <c r="C41" s="2" t="s">
        <v>185</v>
      </c>
    </row>
    <row r="42" spans="1:4" x14ac:dyDescent="0.25">
      <c r="A42" s="34"/>
    </row>
  </sheetData>
  <mergeCells count="6">
    <mergeCell ref="A32:A37"/>
    <mergeCell ref="B1:B2"/>
    <mergeCell ref="C1:C2"/>
    <mergeCell ref="D1:D2"/>
    <mergeCell ref="A3:A25"/>
    <mergeCell ref="A26:A31"/>
  </mergeCells>
  <pageMargins left="0.7" right="0.7" top="0.75" bottom="0.75" header="0.3" footer="0.3"/>
  <pageSetup paperSize="9" orientation="portrait" r:id="rId1"/>
  <ignoredErrors>
    <ignoredError sqref="C11:C12 C20:C23 C37 C26:C3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42"/>
  <sheetViews>
    <sheetView topLeftCell="A16" workbookViewId="0">
      <selection activeCell="B24" sqref="B24"/>
    </sheetView>
  </sheetViews>
  <sheetFormatPr baseColWidth="10" defaultRowHeight="15" x14ac:dyDescent="0.25"/>
  <cols>
    <col min="2" max="2" width="34.28515625" customWidth="1"/>
    <col min="3" max="3" width="27" customWidth="1"/>
    <col min="4" max="4" width="39.28515625" customWidth="1"/>
  </cols>
  <sheetData>
    <row r="1" spans="1:4" ht="9" customHeight="1" x14ac:dyDescent="0.25">
      <c r="B1" s="51" t="s">
        <v>0</v>
      </c>
      <c r="C1" s="53" t="s">
        <v>1</v>
      </c>
      <c r="D1" s="55" t="s">
        <v>170</v>
      </c>
    </row>
    <row r="2" spans="1:4" ht="9.75" customHeight="1" thickBot="1" x14ac:dyDescent="0.3">
      <c r="B2" s="52"/>
      <c r="C2" s="54"/>
      <c r="D2" s="55"/>
    </row>
    <row r="3" spans="1:4" ht="15.75" thickTop="1" x14ac:dyDescent="0.25">
      <c r="A3" s="56" t="s">
        <v>177</v>
      </c>
      <c r="B3" s="20" t="str">
        <f>'Listing vierge'!A1</f>
        <v>Bien / Type de bien</v>
      </c>
      <c r="C3" s="12" t="s">
        <v>3</v>
      </c>
      <c r="D3" t="s">
        <v>32</v>
      </c>
    </row>
    <row r="4" spans="1:4" x14ac:dyDescent="0.25">
      <c r="A4" s="57"/>
      <c r="B4" s="21" t="str">
        <f>'Listing vierge'!B1</f>
        <v>Bien / Référence patrimoine</v>
      </c>
      <c r="C4" s="12" t="s">
        <v>2</v>
      </c>
    </row>
    <row r="5" spans="1:4" x14ac:dyDescent="0.25">
      <c r="A5" s="57"/>
      <c r="B5" s="22" t="str">
        <f>'Listing vierge'!C1</f>
        <v>Adresse / Adresse</v>
      </c>
      <c r="C5" s="12" t="s">
        <v>4</v>
      </c>
    </row>
    <row r="6" spans="1:4" x14ac:dyDescent="0.25">
      <c r="A6" s="57"/>
      <c r="B6" s="22" t="str">
        <f>'Listing vierge'!D1</f>
        <v>Adresse / Code postale</v>
      </c>
      <c r="C6" s="12">
        <v>77310</v>
      </c>
      <c r="D6" t="s">
        <v>38</v>
      </c>
    </row>
    <row r="7" spans="1:4" x14ac:dyDescent="0.25">
      <c r="A7" s="57"/>
      <c r="B7" s="22" t="str">
        <f>'Listing vierge'!E1</f>
        <v>Adresse / Ville</v>
      </c>
      <c r="C7" s="12" t="s">
        <v>5</v>
      </c>
    </row>
    <row r="8" spans="1:4" x14ac:dyDescent="0.25">
      <c r="A8" s="57"/>
      <c r="B8" s="23" t="str">
        <f>'Listing vierge'!F1</f>
        <v>Adresse / Complément</v>
      </c>
      <c r="C8" s="12" t="s">
        <v>6</v>
      </c>
    </row>
    <row r="9" spans="1:4" x14ac:dyDescent="0.25">
      <c r="A9" s="57"/>
      <c r="B9" s="20" t="str">
        <f>'Listing vierge'!G1</f>
        <v>Bâtiment / Nom</v>
      </c>
      <c r="C9" s="12" t="s">
        <v>7</v>
      </c>
      <c r="D9" t="s">
        <v>171</v>
      </c>
    </row>
    <row r="10" spans="1:4" x14ac:dyDescent="0.25">
      <c r="A10" s="57"/>
      <c r="B10" s="21" t="str">
        <f>'Listing vierge'!H1</f>
        <v>Bâtiment / Référence patrimoine</v>
      </c>
      <c r="C10" s="12" t="s">
        <v>8</v>
      </c>
    </row>
    <row r="11" spans="1:4" x14ac:dyDescent="0.25">
      <c r="A11" s="57"/>
      <c r="B11" s="21" t="str">
        <f>'Listing vierge'!I1</f>
        <v>Bâtiment / Nb étage</v>
      </c>
      <c r="C11" s="12" t="s">
        <v>9</v>
      </c>
    </row>
    <row r="12" spans="1:4" x14ac:dyDescent="0.25">
      <c r="A12" s="57"/>
      <c r="B12" s="21" t="str">
        <f>'Listing vierge'!J1</f>
        <v>Bâtiment / Références cadastrales</v>
      </c>
      <c r="C12" s="12" t="s">
        <v>10</v>
      </c>
    </row>
    <row r="13" spans="1:4" x14ac:dyDescent="0.25">
      <c r="A13" s="57"/>
      <c r="B13" s="21" t="str">
        <f>'Listing vierge'!K1</f>
        <v>Bâtiment / Date de permis de construire</v>
      </c>
      <c r="C13" s="12" t="s">
        <v>11</v>
      </c>
      <c r="D13" t="s">
        <v>39</v>
      </c>
    </row>
    <row r="14" spans="1:4" x14ac:dyDescent="0.25">
      <c r="A14" s="57"/>
      <c r="B14" s="21" t="str">
        <f>'Listing vierge'!L1</f>
        <v>Bâtiment / Date de construction</v>
      </c>
      <c r="C14" s="12" t="s">
        <v>12</v>
      </c>
      <c r="D14" t="s">
        <v>39</v>
      </c>
    </row>
    <row r="15" spans="1:4" x14ac:dyDescent="0.25">
      <c r="A15" s="57"/>
      <c r="B15" s="21" t="str">
        <f>'Listing vierge'!M1</f>
        <v>Bâtiment / Est une copropriété</v>
      </c>
      <c r="C15" s="12" t="s">
        <v>13</v>
      </c>
      <c r="D15" t="s">
        <v>37</v>
      </c>
    </row>
    <row r="16" spans="1:4" x14ac:dyDescent="0.25">
      <c r="A16" s="57"/>
      <c r="B16" s="21" t="str">
        <f>'Listing vierge'!N1</f>
        <v>Bâtiment / Etat</v>
      </c>
      <c r="C16" s="12" t="s">
        <v>14</v>
      </c>
    </row>
    <row r="17" spans="1:4" x14ac:dyDescent="0.25">
      <c r="A17" s="57"/>
      <c r="B17" s="21" t="str">
        <f>'Listing vierge'!O1</f>
        <v>Bâtiment / Type de chauffage</v>
      </c>
      <c r="C17" s="12" t="s">
        <v>15</v>
      </c>
      <c r="D17" t="s">
        <v>40</v>
      </c>
    </row>
    <row r="18" spans="1:4" x14ac:dyDescent="0.25">
      <c r="A18" s="57"/>
      <c r="B18" s="35" t="str">
        <f>'Listing vierge'!P1</f>
        <v>Logement / Type</v>
      </c>
      <c r="C18" s="12" t="s">
        <v>31</v>
      </c>
      <c r="D18" t="s">
        <v>33</v>
      </c>
    </row>
    <row r="19" spans="1:4" x14ac:dyDescent="0.25">
      <c r="A19" s="57"/>
      <c r="B19" s="35" t="str">
        <f>'Listing vierge'!Q1</f>
        <v>Logement / Référence patrimoine</v>
      </c>
      <c r="C19" s="12" t="s">
        <v>16</v>
      </c>
    </row>
    <row r="20" spans="1:4" x14ac:dyDescent="0.25">
      <c r="A20" s="57"/>
      <c r="B20" s="35" t="str">
        <f>'Listing vierge'!R1</f>
        <v xml:space="preserve"> Logement / Etage</v>
      </c>
      <c r="C20" s="12" t="s">
        <v>17</v>
      </c>
    </row>
    <row r="21" spans="1:4" x14ac:dyDescent="0.25">
      <c r="A21" s="57"/>
      <c r="B21" s="35" t="str">
        <f>'Listing vierge'!S1</f>
        <v xml:space="preserve"> Logement / Numéro</v>
      </c>
      <c r="C21" s="12" t="s">
        <v>18</v>
      </c>
    </row>
    <row r="22" spans="1:4" x14ac:dyDescent="0.25">
      <c r="A22" s="57"/>
      <c r="B22" s="35" t="str">
        <f>'Listing vierge'!T1</f>
        <v>Logement / Superficie</v>
      </c>
      <c r="C22" s="12" t="s">
        <v>19</v>
      </c>
    </row>
    <row r="23" spans="1:4" x14ac:dyDescent="0.25">
      <c r="A23" s="57"/>
      <c r="B23" s="35" t="str">
        <f>'Listing vierge'!U1</f>
        <v xml:space="preserve"> Logement / Type de chauffage</v>
      </c>
      <c r="C23" s="12" t="s">
        <v>15</v>
      </c>
      <c r="D23" t="s">
        <v>40</v>
      </c>
    </row>
    <row r="24" spans="1:4" ht="15.75" thickBot="1" x14ac:dyDescent="0.3">
      <c r="A24" s="57"/>
      <c r="B24" s="36" t="str">
        <f>'Listing vierge'!V1</f>
        <v xml:space="preserve"> Logement / Date de libération du logement</v>
      </c>
      <c r="C24" s="18" t="s">
        <v>175</v>
      </c>
    </row>
    <row r="25" spans="1:4" ht="12.75" customHeight="1" thickTop="1" thickBot="1" x14ac:dyDescent="0.3">
      <c r="A25" s="58"/>
      <c r="B25" s="40" t="s">
        <v>182</v>
      </c>
      <c r="C25" s="28"/>
    </row>
    <row r="26" spans="1:4" ht="15.75" thickTop="1" x14ac:dyDescent="0.25">
      <c r="A26" s="48" t="s">
        <v>180</v>
      </c>
      <c r="B26" s="37" t="str">
        <f>'Listing vierge'!X1</f>
        <v>Contact sur place / Civilité</v>
      </c>
      <c r="C26" s="19" t="s">
        <v>20</v>
      </c>
      <c r="D26" t="s">
        <v>36</v>
      </c>
    </row>
    <row r="27" spans="1:4" x14ac:dyDescent="0.25">
      <c r="A27" s="49"/>
      <c r="B27" s="38" t="str">
        <f>'Listing vierge'!Y1</f>
        <v>Contact sur place / Nom</v>
      </c>
      <c r="C27" s="12" t="s">
        <v>21</v>
      </c>
      <c r="D27" s="4"/>
    </row>
    <row r="28" spans="1:4" x14ac:dyDescent="0.25">
      <c r="A28" s="49"/>
      <c r="B28" s="38" t="str">
        <f>'Listing vierge'!Z1</f>
        <v>Contact sur place / Prénom</v>
      </c>
      <c r="C28" s="12" t="s">
        <v>22</v>
      </c>
      <c r="D28" s="4"/>
    </row>
    <row r="29" spans="1:4" x14ac:dyDescent="0.25">
      <c r="A29" s="49"/>
      <c r="B29" s="38" t="str">
        <f>'Listing vierge'!AA1</f>
        <v>Contact sur place / Téléphone</v>
      </c>
      <c r="C29" s="13" t="s">
        <v>23</v>
      </c>
      <c r="D29" s="5" t="s">
        <v>176</v>
      </c>
    </row>
    <row r="30" spans="1:4" ht="15.75" thickBot="1" x14ac:dyDescent="0.3">
      <c r="A30" s="49"/>
      <c r="B30" s="39" t="str">
        <f>'Listing vierge'!AB1</f>
        <v>Contact sur place / Mail</v>
      </c>
      <c r="C30" s="18" t="s">
        <v>24</v>
      </c>
      <c r="D30" s="16" t="s">
        <v>133</v>
      </c>
    </row>
    <row r="31" spans="1:4" ht="11.25" customHeight="1" thickTop="1" thickBot="1" x14ac:dyDescent="0.3">
      <c r="A31" s="59"/>
      <c r="B31" s="41" t="s">
        <v>183</v>
      </c>
      <c r="C31" s="28"/>
      <c r="D31" s="25"/>
    </row>
    <row r="32" spans="1:4" ht="15.75" thickTop="1" x14ac:dyDescent="0.25">
      <c r="A32" s="48" t="s">
        <v>181</v>
      </c>
      <c r="B32" s="33" t="str">
        <f>'Listing vierge'!AC1</f>
        <v>Annexe / Type d'Annexe</v>
      </c>
      <c r="C32" s="19" t="s">
        <v>29</v>
      </c>
      <c r="D32" t="s">
        <v>34</v>
      </c>
    </row>
    <row r="33" spans="1:4" x14ac:dyDescent="0.25">
      <c r="A33" s="49"/>
      <c r="B33" s="21" t="str">
        <f>'Listing vierge'!AD1</f>
        <v>Annexe / Référence patrimoine</v>
      </c>
      <c r="C33" s="12" t="s">
        <v>25</v>
      </c>
    </row>
    <row r="34" spans="1:4" x14ac:dyDescent="0.25">
      <c r="A34" s="49"/>
      <c r="B34" s="21" t="str">
        <f>'Listing vierge'!AE1</f>
        <v>Annexe / Étage</v>
      </c>
      <c r="C34" s="12" t="s">
        <v>26</v>
      </c>
    </row>
    <row r="35" spans="1:4" x14ac:dyDescent="0.25">
      <c r="A35" s="49"/>
      <c r="B35" s="21" t="str">
        <f>'Listing vierge'!AF1</f>
        <v>Annexe / Superficie</v>
      </c>
      <c r="C35" s="12" t="s">
        <v>27</v>
      </c>
      <c r="D35" s="2"/>
    </row>
    <row r="36" spans="1:4" x14ac:dyDescent="0.25">
      <c r="A36" s="49"/>
      <c r="B36" s="21" t="str">
        <f>'Listing vierge'!AG1</f>
        <v>Annexe / Est une partie commune</v>
      </c>
      <c r="C36" s="12" t="s">
        <v>28</v>
      </c>
      <c r="D36" t="s">
        <v>35</v>
      </c>
    </row>
    <row r="37" spans="1:4" ht="15.75" thickBot="1" x14ac:dyDescent="0.3">
      <c r="A37" s="50"/>
      <c r="B37" s="21" t="str">
        <f>'Listing vierge'!AH1</f>
        <v>Annexe / Type de chauffage</v>
      </c>
      <c r="C37" s="12" t="s">
        <v>30</v>
      </c>
      <c r="D37" t="s">
        <v>40</v>
      </c>
    </row>
    <row r="38" spans="1:4" ht="15.75" thickTop="1" x14ac:dyDescent="0.25">
      <c r="C38" s="2"/>
    </row>
    <row r="39" spans="1:4" x14ac:dyDescent="0.25">
      <c r="B39" t="s">
        <v>174</v>
      </c>
      <c r="C39" s="2" t="s">
        <v>178</v>
      </c>
    </row>
    <row r="40" spans="1:4" x14ac:dyDescent="0.25">
      <c r="A40" s="11"/>
      <c r="B40" t="s">
        <v>172</v>
      </c>
      <c r="C40" s="2" t="s">
        <v>184</v>
      </c>
    </row>
    <row r="41" spans="1:4" x14ac:dyDescent="0.25">
      <c r="A41" s="10"/>
      <c r="B41" t="s">
        <v>173</v>
      </c>
      <c r="C41" s="42" t="s">
        <v>179</v>
      </c>
    </row>
    <row r="42" spans="1:4" x14ac:dyDescent="0.25">
      <c r="A42" s="44"/>
      <c r="B42" t="s">
        <v>188</v>
      </c>
    </row>
  </sheetData>
  <mergeCells count="6">
    <mergeCell ref="A32:A37"/>
    <mergeCell ref="B1:B2"/>
    <mergeCell ref="C1:C2"/>
    <mergeCell ref="D1:D2"/>
    <mergeCell ref="A3:A25"/>
    <mergeCell ref="A26:A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selection activeCell="B15" sqref="B15"/>
    </sheetView>
  </sheetViews>
  <sheetFormatPr baseColWidth="10" defaultRowHeight="15" x14ac:dyDescent="0.25"/>
  <cols>
    <col min="1" max="1" width="25.42578125" customWidth="1"/>
  </cols>
  <sheetData>
    <row r="1" spans="1:13" x14ac:dyDescent="0.25">
      <c r="A1" t="s">
        <v>62</v>
      </c>
      <c r="C1" t="s">
        <v>63</v>
      </c>
      <c r="E1" t="s">
        <v>80</v>
      </c>
      <c r="I1" t="s">
        <v>113</v>
      </c>
      <c r="K1" t="s">
        <v>115</v>
      </c>
      <c r="M1" t="s">
        <v>134</v>
      </c>
    </row>
    <row r="2" spans="1:13" x14ac:dyDescent="0.25">
      <c r="A2" t="s">
        <v>42</v>
      </c>
      <c r="C2" t="s">
        <v>64</v>
      </c>
      <c r="E2" t="s">
        <v>67</v>
      </c>
      <c r="I2" t="s">
        <v>114</v>
      </c>
      <c r="K2" t="s">
        <v>130</v>
      </c>
      <c r="M2" t="s">
        <v>136</v>
      </c>
    </row>
    <row r="3" spans="1:13" x14ac:dyDescent="0.25">
      <c r="A3" t="s">
        <v>43</v>
      </c>
      <c r="C3" t="s">
        <v>65</v>
      </c>
      <c r="E3" t="s">
        <v>68</v>
      </c>
      <c r="I3" s="1">
        <v>401404</v>
      </c>
      <c r="K3" t="s">
        <v>116</v>
      </c>
      <c r="M3" t="s">
        <v>135</v>
      </c>
    </row>
    <row r="4" spans="1:13" x14ac:dyDescent="0.25">
      <c r="A4" t="s">
        <v>44</v>
      </c>
      <c r="C4" t="s">
        <v>66</v>
      </c>
      <c r="E4" t="s">
        <v>69</v>
      </c>
      <c r="K4" t="s">
        <v>31</v>
      </c>
      <c r="M4" t="s">
        <v>137</v>
      </c>
    </row>
    <row r="5" spans="1:13" x14ac:dyDescent="0.25">
      <c r="A5" t="s">
        <v>45</v>
      </c>
      <c r="E5" t="s">
        <v>70</v>
      </c>
      <c r="K5" t="s">
        <v>117</v>
      </c>
      <c r="M5" t="s">
        <v>138</v>
      </c>
    </row>
    <row r="6" spans="1:13" x14ac:dyDescent="0.25">
      <c r="A6" t="s">
        <v>46</v>
      </c>
      <c r="E6" t="s">
        <v>71</v>
      </c>
      <c r="K6" t="s">
        <v>118</v>
      </c>
      <c r="M6" t="s">
        <v>139</v>
      </c>
    </row>
    <row r="7" spans="1:13" x14ac:dyDescent="0.25">
      <c r="A7" t="s">
        <v>47</v>
      </c>
      <c r="C7" t="s">
        <v>131</v>
      </c>
      <c r="E7" t="s">
        <v>72</v>
      </c>
      <c r="K7" t="s">
        <v>119</v>
      </c>
      <c r="M7" t="s">
        <v>29</v>
      </c>
    </row>
    <row r="8" spans="1:13" x14ac:dyDescent="0.25">
      <c r="A8" t="s">
        <v>48</v>
      </c>
      <c r="C8" t="s">
        <v>20</v>
      </c>
      <c r="E8" t="s">
        <v>73</v>
      </c>
      <c r="K8" t="s">
        <v>120</v>
      </c>
      <c r="M8" t="s">
        <v>140</v>
      </c>
    </row>
    <row r="9" spans="1:13" x14ac:dyDescent="0.25">
      <c r="A9" t="s">
        <v>49</v>
      </c>
      <c r="C9" t="s">
        <v>132</v>
      </c>
      <c r="E9" t="s">
        <v>74</v>
      </c>
      <c r="K9" t="s">
        <v>121</v>
      </c>
      <c r="M9" t="s">
        <v>141</v>
      </c>
    </row>
    <row r="10" spans="1:13" x14ac:dyDescent="0.25">
      <c r="A10" t="s">
        <v>50</v>
      </c>
      <c r="E10" t="s">
        <v>75</v>
      </c>
      <c r="K10" t="s">
        <v>122</v>
      </c>
      <c r="M10" t="s">
        <v>142</v>
      </c>
    </row>
    <row r="11" spans="1:13" x14ac:dyDescent="0.25">
      <c r="A11" t="s">
        <v>51</v>
      </c>
      <c r="E11" t="s">
        <v>76</v>
      </c>
      <c r="K11" t="s">
        <v>123</v>
      </c>
      <c r="M11" t="s">
        <v>143</v>
      </c>
    </row>
    <row r="12" spans="1:13" x14ac:dyDescent="0.25">
      <c r="A12" t="s">
        <v>52</v>
      </c>
      <c r="E12" t="s">
        <v>77</v>
      </c>
      <c r="K12" t="s">
        <v>124</v>
      </c>
      <c r="M12" t="s">
        <v>144</v>
      </c>
    </row>
    <row r="13" spans="1:13" x14ac:dyDescent="0.25">
      <c r="A13" t="s">
        <v>53</v>
      </c>
      <c r="E13" t="s">
        <v>78</v>
      </c>
      <c r="K13" t="s">
        <v>125</v>
      </c>
      <c r="M13" t="s">
        <v>145</v>
      </c>
    </row>
    <row r="14" spans="1:13" x14ac:dyDescent="0.25">
      <c r="A14" t="s">
        <v>54</v>
      </c>
      <c r="E14" t="s">
        <v>54</v>
      </c>
      <c r="K14" t="s">
        <v>126</v>
      </c>
      <c r="M14" t="s">
        <v>146</v>
      </c>
    </row>
    <row r="15" spans="1:13" x14ac:dyDescent="0.25">
      <c r="A15" t="s">
        <v>55</v>
      </c>
      <c r="E15" t="s">
        <v>56</v>
      </c>
      <c r="K15" t="s">
        <v>127</v>
      </c>
      <c r="M15" t="s">
        <v>147</v>
      </c>
    </row>
    <row r="16" spans="1:13" x14ac:dyDescent="0.25">
      <c r="A16" t="s">
        <v>56</v>
      </c>
      <c r="E16" t="s">
        <v>79</v>
      </c>
      <c r="K16" t="s">
        <v>128</v>
      </c>
      <c r="M16" t="s">
        <v>148</v>
      </c>
    </row>
    <row r="17" spans="1:13" x14ac:dyDescent="0.25">
      <c r="A17" t="s">
        <v>57</v>
      </c>
      <c r="K17" t="s">
        <v>129</v>
      </c>
      <c r="M17" t="s">
        <v>149</v>
      </c>
    </row>
    <row r="18" spans="1:13" x14ac:dyDescent="0.25">
      <c r="A18" t="s">
        <v>58</v>
      </c>
      <c r="M18" t="s">
        <v>150</v>
      </c>
    </row>
    <row r="19" spans="1:13" x14ac:dyDescent="0.25">
      <c r="A19" t="s">
        <v>59</v>
      </c>
      <c r="M19" t="s">
        <v>151</v>
      </c>
    </row>
    <row r="20" spans="1:13" x14ac:dyDescent="0.25">
      <c r="A20" t="s">
        <v>60</v>
      </c>
      <c r="M20" t="s">
        <v>152</v>
      </c>
    </row>
    <row r="21" spans="1:13" x14ac:dyDescent="0.25">
      <c r="A21" t="s">
        <v>61</v>
      </c>
      <c r="M21" t="s">
        <v>153</v>
      </c>
    </row>
    <row r="22" spans="1:13" x14ac:dyDescent="0.25">
      <c r="M22" t="s">
        <v>154</v>
      </c>
    </row>
    <row r="23" spans="1:13" x14ac:dyDescent="0.25">
      <c r="M23" t="s">
        <v>155</v>
      </c>
    </row>
    <row r="24" spans="1:13" x14ac:dyDescent="0.25">
      <c r="M24" t="s">
        <v>122</v>
      </c>
    </row>
    <row r="25" spans="1:13" x14ac:dyDescent="0.25">
      <c r="M25" t="s">
        <v>123</v>
      </c>
    </row>
    <row r="26" spans="1:13" x14ac:dyDescent="0.25">
      <c r="M26" t="s">
        <v>156</v>
      </c>
    </row>
    <row r="27" spans="1:13" x14ac:dyDescent="0.25">
      <c r="M27" t="s">
        <v>157</v>
      </c>
    </row>
    <row r="28" spans="1:13" x14ac:dyDescent="0.25">
      <c r="M28" t="s">
        <v>158</v>
      </c>
    </row>
    <row r="29" spans="1:13" x14ac:dyDescent="0.25">
      <c r="M29" t="s">
        <v>159</v>
      </c>
    </row>
    <row r="30" spans="1:13" x14ac:dyDescent="0.25">
      <c r="M30" t="s">
        <v>160</v>
      </c>
    </row>
    <row r="31" spans="1:13" x14ac:dyDescent="0.25">
      <c r="M31" t="s">
        <v>161</v>
      </c>
    </row>
    <row r="32" spans="1:13" x14ac:dyDescent="0.25">
      <c r="M32" t="s">
        <v>162</v>
      </c>
    </row>
    <row r="33" spans="13:13" x14ac:dyDescent="0.25">
      <c r="M33" t="s">
        <v>163</v>
      </c>
    </row>
    <row r="34" spans="13:13" x14ac:dyDescent="0.25">
      <c r="M34" t="s">
        <v>164</v>
      </c>
    </row>
    <row r="35" spans="13:13" x14ac:dyDescent="0.25">
      <c r="M35" t="s">
        <v>165</v>
      </c>
    </row>
    <row r="36" spans="13:13" x14ac:dyDescent="0.25">
      <c r="M36" t="s">
        <v>166</v>
      </c>
    </row>
    <row r="37" spans="13:13" x14ac:dyDescent="0.25">
      <c r="M37" t="s">
        <v>167</v>
      </c>
    </row>
    <row r="38" spans="13:13" x14ac:dyDescent="0.25">
      <c r="M38" t="s">
        <v>168</v>
      </c>
    </row>
    <row r="39" spans="13:13" x14ac:dyDescent="0.25">
      <c r="M39" t="s">
        <v>169</v>
      </c>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36520185BAA5448AD5CB165D2579C9" ma:contentTypeVersion="16" ma:contentTypeDescription="Crée un document." ma:contentTypeScope="" ma:versionID="ea32663b72af9a5e09441eaebcdc23de">
  <xsd:schema xmlns:xsd="http://www.w3.org/2001/XMLSchema" xmlns:xs="http://www.w3.org/2001/XMLSchema" xmlns:p="http://schemas.microsoft.com/office/2006/metadata/properties" xmlns:ns1="http://schemas.microsoft.com/sharepoint/v3" xmlns:ns2="0549f980-0ff4-4163-a69f-57af76e1f779" xmlns:ns3="3c36c988-3b88-4798-888c-82c8966b6e03" targetNamespace="http://schemas.microsoft.com/office/2006/metadata/properties" ma:root="true" ma:fieldsID="ba921b57b3436ede9bca5b9e55c753c3" ns1:_="" ns2:_="" ns3:_="">
    <xsd:import namespace="http://schemas.microsoft.com/sharepoint/v3"/>
    <xsd:import namespace="0549f980-0ff4-4163-a69f-57af76e1f779"/>
    <xsd:import namespace="3c36c988-3b88-4798-888c-82c8966b6e0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étés de la stratégie de conformité unifiée" ma:hidden="true" ma:internalName="_ip_UnifiedCompliancePolicyProperties">
      <xsd:simpleType>
        <xsd:restriction base="dms:Note"/>
      </xsd:simpleType>
    </xsd:element>
    <xsd:element name="_ip_UnifiedCompliancePolicyUIAction" ma:index="19"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49f980-0ff4-4163-a69f-57af76e1f7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8a7832ae-a9a1-4f4a-914e-60bea7751b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c36c988-3b88-4798-888c-82c8966b6e03"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5fd6c0be-4927-46c0-a635-e5398d5f9d4d}" ma:internalName="TaxCatchAll" ma:showField="CatchAllData" ma:web="3c36c988-3b88-4798-888c-82c8966b6e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3c36c988-3b88-4798-888c-82c8966b6e03">
      <UserInfo>
        <DisplayName>Tous les utilisateurs</DisplayName>
        <AccountId>419</AccountId>
        <AccountType/>
      </UserInfo>
    </SharedWithUsers>
    <TaxCatchAll xmlns="3c36c988-3b88-4798-888c-82c8966b6e03" xsi:nil="true"/>
    <lcf76f155ced4ddcb4097134ff3c332f xmlns="0549f980-0ff4-4163-a69f-57af76e1f7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05EF47-6EEA-4347-ACC2-B62516709F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49f980-0ff4-4163-a69f-57af76e1f779"/>
    <ds:schemaRef ds:uri="3c36c988-3b88-4798-888c-82c8966b6e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7C557A-6009-4A27-80B7-B06E0E6B0CEB}">
  <ds:schemaRefs>
    <ds:schemaRef ds:uri="http://schemas.microsoft.com/sharepoint/v3/contenttype/forms"/>
  </ds:schemaRefs>
</ds:datastoreItem>
</file>

<file path=customXml/itemProps3.xml><?xml version="1.0" encoding="utf-8"?>
<ds:datastoreItem xmlns:ds="http://schemas.openxmlformats.org/officeDocument/2006/customXml" ds:itemID="{7B518204-E2B1-4692-A0F3-5C0D178B9717}">
  <ds:schemaRefs>
    <ds:schemaRef ds:uri="http://schemas.openxmlformats.org/package/2006/metadata/core-properties"/>
    <ds:schemaRef ds:uri="http://www.w3.org/XML/1998/namespace"/>
    <ds:schemaRef ds:uri="http://purl.org/dc/terms/"/>
    <ds:schemaRef ds:uri="3c36c988-3b88-4798-888c-82c8966b6e03"/>
    <ds:schemaRef ds:uri="http://schemas.microsoft.com/office/infopath/2007/PartnerControls"/>
    <ds:schemaRef ds:uri="http://purl.org/dc/elements/1.1/"/>
    <ds:schemaRef ds:uri="http://schemas.microsoft.com/office/2006/documentManagement/types"/>
    <ds:schemaRef ds:uri="0549f980-0ff4-4163-a69f-57af76e1f779"/>
    <ds:schemaRef ds:uri="http://schemas.microsoft.com/sharepoint/v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Listing vierge</vt:lpstr>
      <vt:lpstr>Logement avec ou  sans annexes</vt:lpstr>
      <vt:lpstr>Annexes seules</vt:lpstr>
      <vt:lpstr>Références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DELMOTTE Remy</dc:creator>
  <cp:lastModifiedBy>Régis F. M. ATTOLOU</cp:lastModifiedBy>
  <dcterms:created xsi:type="dcterms:W3CDTF">2020-11-27T07:13:08Z</dcterms:created>
  <dcterms:modified xsi:type="dcterms:W3CDTF">2024-08-21T09:19:47Z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0x010100D236520185BAA5448AD5CB165D2579C9</vt:lpwstr>
  </property>
</Properties>
</file>